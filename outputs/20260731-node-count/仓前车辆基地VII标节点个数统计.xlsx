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eb08e4879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统计" sheetId="1" r:id="R5cc80a7e25d04665"/>
    <x:sheet xmlns:r="http://schemas.openxmlformats.org/officeDocument/2006/relationships" name="图片明细" sheetId="2" r:id="R6dedcf9bbf82475a"/>
    <x:sheet xmlns:r="http://schemas.openxmlformats.org/officeDocument/2006/relationships" name="Sheet2" sheetId="3" r:id="R8113cefaf421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6"/>
      <x:color rgb="FF17365D"/>
      <x:name val="Carlito"/>
    </x:font>
    <x:font>
      <x:b/>
      <x:sz val="11"/>
      <x:color rgb="FFFFFFFF"/>
      <x:name val="Carlito"/>
    </x:font>
    <x:font>
      <x:b/>
      <x:sz val="10"/>
      <x:color rgb="FF17365D"/>
      <x:name val="Carlito"/>
    </x:font>
    <x:font>
      <x:i/>
      <x:sz val="10"/>
      <x:color rgb="FF1F2937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8FBFD"/>
      </x:patternFill>
    </x:fill>
    <x:fill>
      <x:patternFill patternType="solid">
        <x:fgColor rgb="FFFFFDF2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8FBFD"/>
      </x:patternFill>
    </x:fill>
    <x:fill>
      <x:patternFill patternType="solid">
        <x:fgColor rgb="FFFFFD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horizontal="right" vertical="center" wrapText="1"/>
    </x:xf>
    <x:xf numFmtId="201" fontId="2" fillId="0" borderId="7" xfId="0" applyNumberFormat="1" applyFont="1" applyFill="1" applyBorder="1" applyAlignment="1">
      <x:alignment vertical="center" wrapText="1"/>
    </x:xf>
    <x:xf numFmtId="201" fontId="2" fillId="0" borderId="7" xfId="0" applyNumberFormat="1" applyFont="1" applyFill="1" applyBorder="1" applyAlignment="1">
      <x:alignment horizontal="center"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200" fontId="2" fillId="7" borderId="7" xfId="0" applyNumberFormat="1" applyFont="1" applyFill="1" applyBorder="1" applyAlignment="1">
      <x:alignment horizontal="right" vertical="center" wrapText="1"/>
    </x:xf>
    <x:xf numFmtId="201" fontId="2" fillId="7" borderId="7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200" fontId="2" fillId="3" borderId="7" xfId="0" applyNumberFormat="1" applyFont="1" applyFill="1" applyBorder="1" applyAlignment="1">
      <x:alignment horizontal="right" vertical="center" wrapText="1"/>
    </x:xf>
    <x:xf numFmtId="201" fontId="2" fillId="3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7" xfId="0" applyNumberFormat="1" applyFont="1" applyFill="1" applyBorder="1"/>
    <x:xf numFmtId="0" fontId="6" fillId="8" borderId="7" xfId="0" applyNumberFormat="1" applyFont="1" applyFill="1" applyBorder="1" applyAlignment="1">
      <x:alignment vertical="center"/>
    </x:xf>
    <x:xf numFmtId="200" fontId="6" fillId="8" borderId="7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horizontal="right" vertical="center"/>
    </x:xf>
    <x:xf numFmtId="0" fontId="2" fillId="7" borderId="7" xfId="0" applyNumberFormat="1" applyFont="1" applyFill="1" applyBorder="1" applyAlignment="1">
      <x:alignment horizontal="center" vertical="center"/>
    </x:xf>
    <x:xf numFmtId="0" fontId="2" fillId="9" borderId="7" xfId="0" applyNumberFormat="1" applyFont="1" applyFill="1" applyBorder="1" applyAlignment="1">
      <x:alignment horizontal="center" vertical="center"/>
    </x:xf>
    <x:xf numFmtId="0" fontId="2" fillId="9" borderId="7" xfId="0" applyNumberFormat="1" applyFont="1" applyFill="1" applyBorder="1" applyAlignment="1">
      <x:alignment vertical="center" wrapText="1"/>
    </x:xf>
    <x:xf numFmtId="200" fontId="2" fillId="9" borderId="7" xfId="0" applyNumberFormat="1" applyFont="1" applyFill="1" applyBorder="1" applyAlignment="1">
      <x:alignment horizontal="right" vertical="center"/>
    </x:xf>
    <x:xf numFmtId="0" fontId="2" fillId="10" borderId="7" xfId="0" applyNumberFormat="1" applyFont="1" applyFill="1" applyBorder="1" applyAlignment="1">
      <x:alignment horizontal="center" vertical="center"/>
    </x:xf>
    <x:xf numFmtId="0" fontId="2" fillId="10" borderId="7" xfId="0" applyNumberFormat="1" applyFont="1" applyFill="1" applyBorder="1" applyAlignment="1">
      <x:alignment vertical="center" wrapText="1"/>
    </x:xf>
    <x:xf numFmtId="200" fontId="2" fillId="10" borderId="7" xfId="0" applyNumberFormat="1" applyFont="1" applyFill="1" applyBorder="1" applyAlignment="1">
      <x:alignment horizontal="right" vertical="center"/>
    </x:xf>
    <x:xf numFmtId="0" fontId="2" fillId="11" borderId="7" xfId="0" applyNumberFormat="1" applyFont="1" applyFill="1" applyBorder="1" applyAlignment="1">
      <x:alignment horizontal="center" vertical="center"/>
    </x:xf>
    <x:xf numFmtId="0" fontId="2" fillId="11" borderId="7" xfId="0" applyNumberFormat="1" applyFont="1" applyFill="1" applyBorder="1" applyAlignment="1">
      <x:alignment vertical="center" wrapText="1"/>
    </x:xf>
    <x:xf numFmtId="200" fontId="2" fillId="11" borderId="7" xfId="0" applyNumberFormat="1" applyFont="1" applyFill="1" applyBorder="1" applyAlignment="1">
      <x:alignment horizontal="right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200" fontId="4" fillId="15" borderId="0" xfId="0" applyNumberFormat="1" applyFont="1" applyFill="1" applyBorder="1"/>
    <x:xf numFmtId="200" fontId="4" fillId="15" borderId="0" xfId="0" applyNumberFormat="1" applyFont="1" applyFill="1" applyBorder="1" applyAlignment="1">
      <x:alignment horizontal="center"/>
    </x:xf>
    <x:xf numFmtId="200" fontId="4" fillId="15" borderId="0" xfId="0" applyNumberFormat="1" applyFont="1" applyFill="1" applyBorder="1" applyAlignment="1">
      <x:alignment horizontal="center" vertical="center"/>
    </x:xf>
    <x:xf numFmtId="0" fontId="3" fillId="14" borderId="1" xfId="0" applyNumberFormat="1" applyFont="1" applyFill="1" applyBorder="1" applyAlignment="1">
      <x:alignment horizontal="center" vertical="center"/>
    </x:xf>
    <x:xf numFmtId="0" fontId="3" fillId="14" borderId="2" xfId="0" applyNumberFormat="1" applyFont="1" applyFill="1" applyBorder="1" applyAlignment="1">
      <x:alignment horizontal="center" vertical="center"/>
    </x:xf>
    <x:xf numFmtId="0" fontId="3" fillId="14" borderId="3" xfId="0" applyNumberFormat="1" applyFont="1" applyFill="1" applyBorder="1" applyAlignment="1">
      <x:alignment horizontal="center" vertical="center"/>
    </x:xf>
    <x:xf numFmtId="200" fontId="4" fillId="15" borderId="4" xfId="0" applyNumberFormat="1" applyFont="1" applyFill="1" applyBorder="1" applyAlignment="1">
      <x:alignment horizontal="center" vertical="center"/>
    </x:xf>
    <x:xf numFmtId="200" fontId="4" fillId="15" borderId="5" xfId="0" applyNumberFormat="1" applyFont="1" applyFill="1" applyBorder="1" applyAlignment="1">
      <x:alignment horizontal="center" vertical="center"/>
    </x:xf>
    <x:xf numFmtId="200" fontId="4" fillId="15" borderId="6" xfId="0" applyNumberFormat="1" applyFont="1" applyFill="1" applyBorder="1" applyAlignment="1">
      <x:alignment horizontal="center" vertical="center"/>
    </x:xf>
    <x:xf numFmtId="0" fontId="5" fillId="12" borderId="0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7" xfId="0" applyNumberFormat="1" applyFont="1" applyFill="1" applyBorder="1"/>
    <x:xf numFmtId="0" fontId="6" fillId="16" borderId="7" xfId="0" applyNumberFormat="1" applyFont="1" applyFill="1" applyBorder="1" applyAlignment="1">
      <x:alignment wrapText="1"/>
    </x:xf>
    <x:xf numFmtId="0" fontId="6" fillId="16" borderId="7" xfId="0" applyNumberFormat="1" applyFont="1" applyFill="1" applyBorder="1" applyAlignment="1">
      <x:alignment horizontal="center" wrapText="1"/>
    </x:xf>
    <x:xf numFmtId="0" fontId="6" fillId="16" borderId="7" xfId="0" applyNumberFormat="1" applyFont="1" applyFill="1" applyBorder="1" applyAlignment="1">
      <x:alignment horizontal="center" vertical="center" wrapText="1"/>
    </x:xf>
    <x:xf numFmtId="0" fontId="2" fillId="17" borderId="7" xfId="0" applyNumberFormat="1" applyFont="1" applyFill="1" applyBorder="1" applyAlignment="1">
      <x:alignment horizontal="center" vertical="center"/>
    </x:xf>
    <x:xf numFmtId="0" fontId="2" fillId="17" borderId="7" xfId="0" applyNumberFormat="1" applyFont="1" applyFill="1" applyBorder="1" applyAlignment="1">
      <x:alignment vertical="center"/>
    </x:xf>
    <x:xf numFmtId="200" fontId="2" fillId="17" borderId="7" xfId="0" applyNumberFormat="1" applyFont="1" applyFill="1" applyBorder="1" applyAlignment="1">
      <x:alignment horizontal="right" vertical="center"/>
    </x:xf>
    <x:xf numFmtId="0" fontId="2" fillId="18" borderId="7" xfId="0" applyNumberFormat="1" applyFont="1" applyFill="1" applyBorder="1" applyAlignment="1">
      <x:alignment horizontal="center" vertical="center"/>
    </x:xf>
    <x:xf numFmtId="0" fontId="2" fillId="18" borderId="7" xfId="0" applyNumberFormat="1" applyFont="1" applyFill="1" applyBorder="1" applyAlignment="1">
      <x:alignment vertical="center"/>
    </x:xf>
    <x:xf numFmtId="200" fontId="2" fillId="18" borderId="7" xfId="0" applyNumberFormat="1" applyFont="1" applyFill="1" applyBorder="1" applyAlignment="1">
      <x:alignment horizontal="right" vertical="center"/>
    </x:xf>
    <x:xf numFmtId="0" fontId="2" fillId="19" borderId="7" xfId="0" applyNumberFormat="1" applyFont="1" applyFill="1" applyBorder="1" applyAlignment="1">
      <x:alignment horizontal="center" vertical="center"/>
    </x:xf>
    <x:xf numFmtId="0" fontId="2" fillId="19" borderId="7" xfId="0" applyNumberFormat="1" applyFont="1" applyFill="1" applyBorder="1" applyAlignment="1">
      <x:alignment vertical="center"/>
    </x:xf>
    <x:xf numFmtId="200" fontId="2" fillId="19" borderId="7" xfId="0" applyNumberFormat="1" applyFont="1" applyFill="1" applyBorder="1" applyAlignment="1">
      <x:alignment horizontal="right" vertical="center"/>
    </x:xf>
    <x:xf numFmtId="0" fontId="2" fillId="20" borderId="7" xfId="0" applyNumberFormat="1" applyFont="1" applyFill="1" applyBorder="1" applyAlignment="1">
      <x:alignment horizontal="center" vertical="center"/>
    </x:xf>
    <x:xf numFmtId="0" fontId="2" fillId="21" borderId="7" xfId="0" applyNumberFormat="1" applyFont="1" applyFill="1" applyBorder="1" applyAlignment="1">
      <x:alignment vertical="center"/>
    </x:xf>
    <x:xf numFmtId="0" fontId="2" fillId="20" borderId="7" xfId="0" applyNumberFormat="1" applyFont="1" applyFill="1" applyBorder="1" applyAlignment="1">
      <x:alignment vertical="center"/>
    </x:xf>
    <x:xf numFmtId="0" fontId="2" fillId="20" borderId="7" xfId="0" applyNumberFormat="1" applyFont="1" applyFill="1" applyBorder="1" applyAlignment="1">
      <x:alignment vertical="center" wrapText="1"/>
    </x:xf>
    <x:xf numFmtId="200" fontId="2" fillId="20" borderId="7" xfId="0" applyNumberFormat="1" applyFont="1" applyFill="1" applyBorder="1" applyAlignment="1">
      <x:alignment vertical="center" wrapText="1"/>
    </x:xf>
    <x:xf numFmtId="0" fontId="2" fillId="21" borderId="7" xfId="0" applyNumberFormat="1" applyFont="1" applyFill="1" applyBorder="1" applyAlignment="1">
      <x:alignment vertical="center" wrapText="1"/>
    </x:xf>
    <x:xf numFmtId="200" fontId="2" fillId="21" borderId="7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8" xfId="0" applyNumberFormat="1" applyFont="1" applyFill="1" applyBorder="1"/>
    <x:xf numFmtId="0" fontId="7" fillId="22" borderId="9" xfId="0" applyNumberFormat="1" applyFont="1" applyFill="1" applyBorder="1"/>
    <x:xf numFmtId="0" fontId="7" fillId="22" borderId="10" xfId="0" applyNumberFormat="1" applyFont="1" applyFill="1" applyBorder="1"/>
    <x:xf numFmtId="0" fontId="7" fillId="22" borderId="8" xfId="0" applyNumberFormat="1" applyFont="1" applyFill="1" applyBorder="1" applyAlignment="1">
      <x:alignment wrapText="1"/>
    </x:xf>
    <x:xf numFmtId="0" fontId="7" fillId="22" borderId="9" xfId="0" applyNumberFormat="1" applyFont="1" applyFill="1" applyBorder="1" applyAlignment="1">
      <x:alignment wrapText="1"/>
    </x:xf>
    <x:xf numFmtId="0" fontId="7" fillId="22" borderId="10" xfId="0" applyNumberFormat="1" applyFont="1" applyFill="1" applyBorder="1" applyAlignment="1">
      <x:alignment wrapText="1"/>
    </x:xf>
    <x:xf numFmtId="0" fontId="7" fillId="22" borderId="8" xfId="0" applyNumberFormat="1" applyFont="1" applyFill="1" applyBorder="1" applyAlignment="1">
      <x:alignment vertical="center" wrapText="1"/>
    </x:xf>
    <x:xf numFmtId="0" fontId="7" fillId="22" borderId="9" xfId="0" applyNumberFormat="1" applyFont="1" applyFill="1" applyBorder="1" applyAlignment="1">
      <x:alignment vertical="center" wrapText="1"/>
    </x:xf>
    <x:xf numFmtId="0" fontId="7" fillId="22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4985e03e043a1" /><Relationship Type="http://schemas.openxmlformats.org/officeDocument/2006/relationships/theme" Target="/xl/theme/theme1.xml" Id="Rafbac3ac8ddb4b8a" /><Relationship Type="http://schemas.openxmlformats.org/officeDocument/2006/relationships/sharedStrings" Target="/xl/sharedStrings.xml" Id="Rf61b14f54e0d4120" /><Relationship Type="http://schemas.openxmlformats.org/officeDocument/2006/relationships/worksheet" Target="/xl/worksheets/sheet1.xml" Id="R5cc80a7e25d04665" /><Relationship Type="http://schemas.openxmlformats.org/officeDocument/2006/relationships/worksheet" Target="/xl/worksheets/sheet2.xml" Id="R6dedcf9bbf82475a" /><Relationship Type="http://schemas.openxmlformats.org/officeDocument/2006/relationships/worksheet" Target="/xl/worksheets/sheet3.xml" Id="R8113cefaf4214a69" /></Relationships>
</file>

<file path=xl/tables/table1.xml><?xml version="1.0" encoding="utf-8"?>
<x:table xmlns:x="http://schemas.openxmlformats.org/spreadsheetml/2006/main" id="1" name="ImageNodeDetails" displayName="ImageNodeDetails" ref="A4:J48" headerRowCount="1" totalsRowCount="0" totalsRowShown="0">
  <x:tableColumns count="10">
    <x:tableColumn id="1" name="图片"/>
    <x:tableColumn id="2" name="图片行"/>
    <x:tableColumn id="3" name="节点序列（公式）"/>
    <x:tableColumn id="4" name="位置1"/>
    <x:tableColumn id="5" name="位置2"/>
    <x:tableColumn id="6" name="位置3"/>
    <x:tableColumn id="7" name="位置4"/>
    <x:tableColumn id="8" name="位置5"/>
    <x:tableColumn id="9" name="备注（公式）"/>
    <x:tableColumn id="10" name="本行节点数（公式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intTrackRecords" displayName="PointTrackRecords" ref="A8:N52" headerRowCount="1" totalsRowCount="0" totalsRowShown="0">
  <x:tableColumns count="14">
    <x:tableColumn id="1" name="图片"/>
    <x:tableColumn id="2" name="图片行"/>
    <x:tableColumn id="3" name="定位点（K000形式）"/>
    <x:tableColumn id="4" name="股道1"/>
    <x:tableColumn id="5" name="股道2"/>
    <x:tableColumn id="6" name="股道3"/>
    <x:tableColumn id="7" name="股道4"/>
    <x:tableColumn id="8" name="股道5"/>
    <x:tableColumn id="9" name="股道序列（公式）"/>
    <x:tableColumn id="10" name="右侧括号编号"/>
    <x:tableColumn id="11" name="缺陷/记录"/>
    <x:tableColumn id="12" name="月检库股道数（公式）"/>
    <x:tableColumn id="13" name="本行股道数（公式）"/>
    <x:tableColumn id="14" name="定位点复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f79684bb9f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6417549c384c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4" hidden="0" customWidth="1"/>
    <x:col min="4" max="4" width="20" hidden="0" customWidth="1"/>
    <x:col min="5" max="5" width="28" hidden="0" customWidth="1"/>
    <x:col min="6" max="6" width="12" hidden="0" customWidth="1"/>
    <x:col min="7" max="7" width="17" hidden="0" customWidth="1"/>
    <x:col min="8" max="8" width="25" hidden="0" customWidth="1"/>
  </x:cols>
  <x:sheetData>
    <x:row r="1" ht="30" customHeight="1">
      <x:c r="A1" s="4" t="str">
        <x:v>仓前车辆基地VII标节点个数统计</x:v>
      </x:c>
      <x:c r="B1" s="4"/>
      <x:c r="C1" s="4"/>
      <x:c r="D1" s="4"/>
      <x:c r="E1" s="4"/>
      <x:c r="F1" s="4"/>
      <x:c r="G1" s="4"/>
      <x:c r="H1" s="4"/>
    </x:row>
    <x:row r="2" ht="36" customHeight="1">
      <x:c r="A2" s="8" t="str">
        <x:v>统计依据：三张现场图片逐行录入。图片中的“1”按原表“车场横跨节点1、2”归类；普通“5”按“车场横跨节点5”归类；“月5”按“月检库节点5”归类；“8/8(软横)”均按“车场横跨节点8”归类。</x:v>
      </x:c>
      <x:c r="B2" s="8"/>
      <x:c r="C2" s="8"/>
      <x:c r="D2" s="8"/>
      <x:c r="E2" s="8"/>
      <x:c r="F2" s="8"/>
      <x:c r="G2" s="8"/>
      <x:c r="H2" s="8"/>
    </x:row>
    <x:row r="4">
      <x:c r="A4" s="18" t="str">
        <x:v>照片记录行数</x:v>
      </x:c>
      <x:c r="B4" s="19"/>
      <x:c r="C4" s="19" t="str">
        <x:v>照片节点总数</x:v>
      </x:c>
      <x:c r="D4" s="19"/>
      <x:c r="E4" s="19" t="str">
        <x:v>照片涉及类别</x:v>
      </x:c>
      <x:c r="F4" s="19"/>
      <x:c r="G4" s="19" t="str">
        <x:v>月检库节点5</x:v>
      </x:c>
      <x:c r="H4" s="20"/>
    </x:row>
    <x:row r="5" ht="28" customHeight="1">
      <x:c r="A5" s="21" t="n">
        <x:f>COUNTA('图片明细'!$A$5:$A$48)</x:f>
        <x:v>44</x:v>
      </x:c>
      <x:c r="B5" s="22"/>
      <x:c r="C5" s="22" t="n">
        <x:f>SUM('图片明细'!$J$5:$J$48)</x:f>
        <x:v>220</x:v>
      </x:c>
      <x:c r="D5" s="22"/>
      <x:c r="E5" s="22" t="n">
        <x:f>COUNTIF($C$9:$C$16,"&gt;0")</x:f>
        <x:v>4</x:v>
      </x:c>
      <x:c r="F5" s="22"/>
      <x:c r="G5" s="22" t="n">
        <x:f>COUNTIF('图片明细'!$D$5:$H$48,"月检库节点5")</x:f>
        <x:v>8</x:v>
      </x:c>
      <x:c r="H5" s="23"/>
    </x:row>
    <x:row r="7">
      <x:c r="A7" s="25" t="str">
        <x:v>一、按节点类别汇总</x:v>
      </x:c>
      <x:c r="B7" s="25"/>
      <x:c r="C7" s="25"/>
      <x:c r="D7" s="25"/>
      <x:c r="E7" s="25"/>
      <x:c r="F7" s="25"/>
      <x:c r="G7" s="25"/>
      <x:c r="H7" s="25"/>
    </x:row>
    <x:row r="8" ht="32" customHeight="1">
      <x:c r="A8" s="31" t="str">
        <x:v>照片归类</x:v>
      </x:c>
      <x:c r="B8" s="31" t="str">
        <x:v>原表对应项目</x:v>
      </x:c>
      <x:c r="C8" s="31" t="str">
        <x:v>图片统计个数</x:v>
      </x:c>
      <x:c r="D8" s="31" t="str">
        <x:v>原表合同数量（处，参考）</x:v>
      </x:c>
      <x:c r="E8" s="31" t="str">
        <x:v>图片映射/口径</x:v>
      </x:c>
      <x:c r="F8" s="31" t="str">
        <x:v>原表唯一序号</x:v>
      </x:c>
      <x:c r="G8" s="31" t="str">
        <x:v>合同序号</x:v>
      </x:c>
      <x:c r="H8" s="31" t="str">
        <x:v>备注</x:v>
      </x:c>
    </x:row>
    <x:row r="9" ht="28" customHeight="1">
      <x:c r="A9" s="35" t="str">
        <x:v>节点1</x:v>
      </x:c>
      <x:c r="B9" s="35" t="str">
        <x:v>车场横跨节点1、2安装</x:v>
      </x:c>
      <x:c r="C9" s="37" t="n">
        <x:f>COUNTIF('图片明细'!$D$5:$H$48,A9)</x:f>
        <x:v>88</x:v>
      </x:c>
      <x:c r="D9" s="37" t="n">
        <x:v>126</x:v>
      </x:c>
      <x:c r="E9" s="35" t="str">
        <x:v>图片两端的“1”</x:v>
      </x:c>
      <x:c r="F9" s="39" t="n">
        <x:v>37</x:v>
      </x:c>
      <x:c r="G9" s="39" t="str">
        <x:v>080802007001</x:v>
      </x:c>
      <x:c r="H9" s="35" t="str">
        <x:v>原表名称含“1、2”</x:v>
      </x:c>
    </x:row>
    <x:row r="10" ht="28" customHeight="1">
      <x:c r="A10" s="35" t="str">
        <x:v>节点5</x:v>
      </x:c>
      <x:c r="B10" s="35" t="str">
        <x:v>车场横跨节点5安装</x:v>
      </x:c>
      <x:c r="C10" s="37" t="n">
        <x:f>COUNTIF('图片明细'!$D$5:$H$48,A10)</x:f>
        <x:v>80</x:v>
      </x:c>
      <x:c r="D10" s="37" t="n">
        <x:v>106</x:v>
      </x:c>
      <x:c r="E10" s="35" t="str">
        <x:v>图片中的普通“5”</x:v>
      </x:c>
      <x:c r="F10" s="39" t="n">
        <x:v>38</x:v>
      </x:c>
      <x:c r="G10" s="39" t="str">
        <x:v>080802007002</x:v>
      </x:c>
      <x:c r="H10" s="35" t="str">
        <x:v>不含“月5”</x:v>
      </x:c>
    </x:row>
    <x:row r="11" ht="28" customHeight="1">
      <x:c r="A11" s="40" t="str">
        <x:v>月检库节点5</x:v>
      </x:c>
      <x:c r="B11" s="40" t="str">
        <x:v>双周三月检库节点5安装</x:v>
      </x:c>
      <x:c r="C11" s="41" t="n">
        <x:f>COUNTIF('图片明细'!$D$5:$H$48,A11)</x:f>
        <x:v>8</x:v>
      </x:c>
      <x:c r="D11" s="41" t="n">
        <x:v>20</x:v>
      </x:c>
      <x:c r="E11" s="40" t="str">
        <x:v>图片中的“月5”</x:v>
      </x:c>
      <x:c r="F11" s="42" t="n">
        <x:v>43</x:v>
      </x:c>
      <x:c r="G11" s="42" t="str">
        <x:v>080802007007</x:v>
      </x:c>
      <x:c r="H11" s="40" t="str">
        <x:v>按用户说明对应月检库</x:v>
      </x:c>
    </x:row>
    <x:row r="12" ht="28" customHeight="1">
      <x:c r="A12" s="35" t="str">
        <x:v>节点8</x:v>
      </x:c>
      <x:c r="B12" s="35" t="str">
        <x:v>车场横跨节点8安装</x:v>
      </x:c>
      <x:c r="C12" s="37" t="n">
        <x:f>COUNTIF('图片明细'!$D$5:$H$48,A12)</x:f>
        <x:v>44</x:v>
      </x:c>
      <x:c r="D12" s="37" t="n">
        <x:v>60</x:v>
      </x:c>
      <x:c r="E12" s="35" t="str">
        <x:v>图片中的“8”或“8(软横)”</x:v>
      </x:c>
      <x:c r="F12" s="39" t="n">
        <x:v>41</x:v>
      </x:c>
      <x:c r="G12" s="39" t="str">
        <x:v>080802007005</x:v>
      </x:c>
      <x:c r="H12" s="35" t="str">
        <x:v>同一节点类别</x:v>
      </x:c>
    </x:row>
    <x:row r="13" ht="28" customHeight="1">
      <x:c r="A13" s="43" t="str">
        <x:v>节点6</x:v>
      </x:c>
      <x:c r="B13" s="43" t="str">
        <x:v>车场横跨节点6安装</x:v>
      </x:c>
      <x:c r="C13" s="44" t="n">
        <x:f>COUNTIF('图片明细'!$D$5:$H$48,A13)</x:f>
        <x:v>0</x:v>
      </x:c>
      <x:c r="D13" s="44" t="n">
        <x:v>0</x:v>
      </x:c>
      <x:c r="E13" s="43" t="str">
        <x:v>图片未出现</x:v>
      </x:c>
      <x:c r="F13" s="45" t="n">
        <x:v>39</x:v>
      </x:c>
      <x:c r="G13" s="45" t="str">
        <x:v>080802007003</x:v>
      </x:c>
      <x:c r="H13" s="43" t="str"/>
    </x:row>
    <x:row r="14" ht="28" customHeight="1">
      <x:c r="A14" s="35" t="str">
        <x:v>节点7</x:v>
      </x:c>
      <x:c r="B14" s="35" t="str">
        <x:v>车场横跨节点7安装</x:v>
      </x:c>
      <x:c r="C14" s="37" t="n">
        <x:f>COUNTIF('图片明细'!$D$5:$H$48,A14)</x:f>
        <x:v>0</x:v>
      </x:c>
      <x:c r="D14" s="37" t="n">
        <x:v>2</x:v>
      </x:c>
      <x:c r="E14" s="35" t="str">
        <x:v>图片未出现</x:v>
      </x:c>
      <x:c r="F14" s="39" t="n">
        <x:v>40</x:v>
      </x:c>
      <x:c r="G14" s="39" t="str">
        <x:v>080802007004</x:v>
      </x:c>
      <x:c r="H14" s="35" t="str"/>
    </x:row>
    <x:row r="15" ht="28" customHeight="1">
      <x:c r="A15" s="35" t="str">
        <x:v>节点9</x:v>
      </x:c>
      <x:c r="B15" s="35" t="str">
        <x:v>车场横跨节点9安装</x:v>
      </x:c>
      <x:c r="C15" s="37" t="n">
        <x:f>COUNTIF('图片明细'!$D$5:$H$48,A15)</x:f>
        <x:v>0</x:v>
      </x:c>
      <x:c r="D15" s="37" t="n">
        <x:v>2</x:v>
      </x:c>
      <x:c r="E15" s="35" t="str">
        <x:v>图片未出现</x:v>
      </x:c>
      <x:c r="F15" s="39" t="n">
        <x:v>42</x:v>
      </x:c>
      <x:c r="G15" s="39" t="str">
        <x:v>080802007006</x:v>
      </x:c>
      <x:c r="H15" s="35" t="str"/>
    </x:row>
    <x:row r="16" ht="28" customHeight="1">
      <x:c r="A16" s="35" t="str">
        <x:v>节点5（双）</x:v>
      </x:c>
      <x:c r="B16" s="35" t="str">
        <x:v>车场横跨节点5(双)安装</x:v>
      </x:c>
      <x:c r="C16" s="37" t="n">
        <x:f>COUNTIF('图片明细'!$D$5:$H$48,A16)</x:f>
        <x:v>0</x:v>
      </x:c>
      <x:c r="D16" s="37" t="n">
        <x:v>0</x:v>
      </x:c>
      <x:c r="E16" s="35" t="str">
        <x:v>图片未出现</x:v>
      </x:c>
      <x:c r="F16" s="39" t="n">
        <x:v>44</x:v>
      </x:c>
      <x:c r="G16" s="39" t="str">
        <x:v>080802007008</x:v>
      </x:c>
      <x:c r="H16" s="35" t="str"/>
    </x:row>
    <x:row r="17" ht="28" customHeight="1">
      <x:c r="A17" s="49" t="str">
        <x:v>合计</x:v>
      </x:c>
      <x:c r="B17" s="49"/>
      <x:c r="C17" s="50" t="n">
        <x:f>SUM(C9:C16)</x:f>
        <x:v>220</x:v>
      </x:c>
      <x:c r="D17" s="50" t="n">
        <x:f>SUM(D9:D16)</x:f>
        <x:v>316</x:v>
      </x:c>
      <x:c r="E17" s="49" t="str">
        <x:v>合同数量为原表参考口径，不能直接与图片识别个数相加比较</x:v>
      </x:c>
      <x:c r="F17" s="49"/>
      <x:c r="G17" s="49"/>
      <x:c r="H17" s="49"/>
    </x:row>
    <x:row r="19">
      <x:c r="A19" s="24" t="str">
        <x:v>二、来源文件</x:v>
      </x:c>
      <x:c r="B19" s="24"/>
      <x:c r="C19" s="24"/>
      <x:c r="D19" s="24"/>
      <x:c r="E19" s="24"/>
      <x:c r="F19" s="24"/>
      <x:c r="G19" s="24"/>
      <x:c r="H19" s="24"/>
    </x:row>
    <x:row r="20" ht="36" customHeight="1">
      <x:c r="A20" s="51" t="str">
        <x:v>原始表</x:v>
      </x:c>
      <x:c r="B20" s="35" t="str">
        <x:v>仓前车辆基地VII标资产清点表.xls</x:v>
      </x:c>
      <x:c r="C20" s="35"/>
      <x:c r="D20" s="51" t="str">
        <x:v>相关工作表</x:v>
      </x:c>
      <x:c r="E20" s="35" t="str">
        <x:v>【表2】接触网工程量清单</x:v>
      </x:c>
      <x:c r="F20" s="35"/>
      <x:c r="G20" s="51" t="str">
        <x:v>原表相关行</x:v>
      </x:c>
      <x:c r="H20" s="35" t="str">
        <x:v>唯一序号37、38、41、43</x:v>
      </x:c>
    </x:row>
    <x:row r="21" ht="44" customHeight="1">
      <x:c r="A21" s="51" t="str">
        <x:v>图片1</x:v>
      </x:c>
      <x:c r="B21" s="35" t="str">
        <x:v>66i7igr3zfztyewqbdbsqpt26_0.jpg</x:v>
      </x:c>
      <x:c r="C21" s="35"/>
      <x:c r="D21" s="51" t="str">
        <x:v>图片2</x:v>
      </x:c>
      <x:c r="E21" s="35" t="str">
        <x:v>32i1ni29fkoqol7vliq61wgcz_0.jpg</x:v>
      </x:c>
      <x:c r="F21" s="35"/>
      <x:c r="G21" s="51" t="str">
        <x:v>图片3</x:v>
      </x:c>
      <x:c r="H21" s="35" t="str">
        <x:v>dz3w5043dofjc3p0a5q6kn9z_0.jpg</x:v>
      </x:c>
    </x:row>
    <x:row r="22" ht="44" customHeight="1">
      <x:c r="A22" s="51" t="str">
        <x:v>图片统计口径</x:v>
      </x:c>
      <x:c r="B22" s="35" t="str">
        <x:v>逐行读取每张图片中的 1 / 5 / 8 / 5 / 1 序列</x:v>
      </x:c>
      <x:c r="C22" s="35"/>
      <x:c r="D22" s="51" t="str">
        <x:v>月检库口径</x:v>
      </x:c>
      <x:c r="E22" s="35" t="str">
        <x:v>图片3最后4行的两个“月5”各计1个月检库节点5</x:v>
      </x:c>
      <x:c r="F22" s="35"/>
      <x:c r="G22" s="35"/>
      <x:c r="H22" s="35"/>
    </x:row>
    <x:row r="23" ht="44" customHeight="1">
      <x:c r="A23" s="51" t="str">
        <x:v>备注</x:v>
      </x:c>
      <x:c r="B23" s="35" t="str">
        <x:v>本表为图片识别统计，不替代原表资产清点数量；Sheet2补充定位点、股道及缺陷/记录，新增或修正明细后汇总公式会自动更新。</x:v>
      </x:c>
      <x:c r="C23" s="35"/>
      <x:c r="D23" s="35"/>
      <x:c r="E23" s="35"/>
      <x:c r="F23" s="35"/>
      <x:c r="G23" s="35"/>
      <x:c r="H23" s="35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7:H7"/>
    <x:mergeCell ref="A17:B17"/>
    <x:mergeCell ref="E17:H17"/>
    <x:mergeCell ref="A19:H19"/>
    <x:mergeCell ref="B20:C20"/>
    <x:mergeCell ref="E20:F20"/>
    <x:mergeCell ref="B21:C21"/>
    <x:mergeCell ref="E21:F21"/>
    <x:mergeCell ref="B22:C22"/>
    <x:mergeCell ref="E22:F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3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8" hidden="0" customWidth="1"/>
    <x:col min="10" max="10" width="14" hidden="0" customWidth="1"/>
  </x:cols>
  <x:sheetData>
    <x:row r="1" ht="30" customHeight="1">
      <x:c r="A1" s="4" t="str">
        <x:v>图片明细：节点序列逐行录入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图片1/2/3分别对应 66i7igr3zfztyewqbdbsqpt26_0.jpg、32i1ni29fkoqol7vliq61wgcz_0.jpg、dz3w5043dofjc3p0a5q6kn9z_0.jpg。黄色单元格为图片手写“月5”，按月检库节点5统计。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31" t="str">
        <x:v>图片</x:v>
      </x:c>
      <x:c r="B4" s="31" t="str">
        <x:v>图片行</x:v>
      </x:c>
      <x:c r="C4" s="31" t="str">
        <x:v>节点序列（公式）</x:v>
      </x:c>
      <x:c r="D4" s="31" t="str">
        <x:v>位置1</x:v>
      </x:c>
      <x:c r="E4" s="31" t="str">
        <x:v>位置2</x:v>
      </x:c>
      <x:c r="F4" s="31" t="str">
        <x:v>位置3</x:v>
      </x:c>
      <x:c r="G4" s="31" t="str">
        <x:v>位置4</x:v>
      </x:c>
      <x:c r="H4" s="31" t="str">
        <x:v>位置5</x:v>
      </x:c>
      <x:c r="I4" s="31" t="str">
        <x:v>备注（公式）</x:v>
      </x:c>
      <x:c r="J4" s="31" t="str">
        <x:v>本行节点数（公式）</x:v>
      </x:c>
    </x:row>
    <x:row r="5" ht="22" customHeight="1">
      <x:c r="A5" s="57" t="str">
        <x:v>图片1</x:v>
      </x:c>
      <x:c r="B5" s="57" t="n">
        <x:v>1</x:v>
      </x:c>
      <x:c r="C5" s="58" t="str">
        <x:f>D5&amp;" / "&amp;E5&amp;" / "&amp;F5&amp;" / "&amp;G5&amp;" / "&amp;H5</x:f>
        <x:v>节点1 / 节点5 / 节点8 / 节点5 / 节点1</x:v>
      </x:c>
      <x:c r="D5" s="57" t="str">
        <x:v>节点1</x:v>
      </x:c>
      <x:c r="E5" s="57" t="str">
        <x:v>节点5</x:v>
      </x:c>
      <x:c r="F5" s="57" t="str">
        <x:v>节点8</x:v>
      </x:c>
      <x:c r="G5" s="57" t="str">
        <x:v>节点5</x:v>
      </x:c>
      <x:c r="H5" s="57" t="str">
        <x:v>节点1</x:v>
      </x:c>
      <x:c r="I5" s="58" t="str">
        <x:f>IF(COUNTIF(D5:H5,"月检库节点5")&gt;0,"“月5”按月检库节点5统计","")</x:f>
      </x:c>
      <x:c r="J5" s="59" t="n">
        <x:f>COUNTA(D5:H5)</x:f>
        <x:v>5</x:v>
      </x:c>
    </x:row>
    <x:row r="6" ht="22" customHeight="1">
      <x:c r="A6" s="57" t="str">
        <x:v>图片1</x:v>
      </x:c>
      <x:c r="B6" s="57" t="n">
        <x:v>2</x:v>
      </x:c>
      <x:c r="C6" s="58" t="str">
        <x:f>D6&amp;" / "&amp;E6&amp;" / "&amp;F6&amp;" / "&amp;G6&amp;" / "&amp;H6</x:f>
        <x:v>节点1 / 节点5 / 节点8 / 节点5 / 节点1</x:v>
      </x:c>
      <x:c r="D6" s="57" t="str">
        <x:v>节点1</x:v>
      </x:c>
      <x:c r="E6" s="57" t="str">
        <x:v>节点5</x:v>
      </x:c>
      <x:c r="F6" s="57" t="str">
        <x:v>节点8</x:v>
      </x:c>
      <x:c r="G6" s="57" t="str">
        <x:v>节点5</x:v>
      </x:c>
      <x:c r="H6" s="57" t="str">
        <x:v>节点1</x:v>
      </x:c>
      <x:c r="I6" s="58" t="str">
        <x:f>IF(COUNTIF(D6:H6,"月检库节点5")&gt;0,"“月5”按月检库节点5统计","")</x:f>
      </x:c>
      <x:c r="J6" s="59" t="n">
        <x:f>COUNTA(D6:H6)</x:f>
        <x:v>5</x:v>
      </x:c>
    </x:row>
    <x:row r="7" ht="22" customHeight="1">
      <x:c r="A7" s="57" t="str">
        <x:v>图片1</x:v>
      </x:c>
      <x:c r="B7" s="57" t="n">
        <x:v>3</x:v>
      </x:c>
      <x:c r="C7" s="58" t="str">
        <x:f>D7&amp;" / "&amp;E7&amp;" / "&amp;F7&amp;" / "&amp;G7&amp;" / "&amp;H7</x:f>
        <x:v>节点1 / 节点5 / 节点8 / 节点5 / 节点1</x:v>
      </x:c>
      <x:c r="D7" s="57" t="str">
        <x:v>节点1</x:v>
      </x:c>
      <x:c r="E7" s="57" t="str">
        <x:v>节点5</x:v>
      </x:c>
      <x:c r="F7" s="57" t="str">
        <x:v>节点8</x:v>
      </x:c>
      <x:c r="G7" s="57" t="str">
        <x:v>节点5</x:v>
      </x:c>
      <x:c r="H7" s="57" t="str">
        <x:v>节点1</x:v>
      </x:c>
      <x:c r="I7" s="58" t="str">
        <x:f>IF(COUNTIF(D7:H7,"月检库节点5")&gt;0,"“月5”按月检库节点5统计","")</x:f>
      </x:c>
      <x:c r="J7" s="59" t="n">
        <x:f>COUNTA(D7:H7)</x:f>
        <x:v>5</x:v>
      </x:c>
    </x:row>
    <x:row r="8" ht="22" customHeight="1">
      <x:c r="A8" s="57" t="str">
        <x:v>图片1</x:v>
      </x:c>
      <x:c r="B8" s="57" t="n">
        <x:v>4</x:v>
      </x:c>
      <x:c r="C8" s="58" t="str">
        <x:f>D8&amp;" / "&amp;E8&amp;" / "&amp;F8&amp;" / "&amp;G8&amp;" / "&amp;H8</x:f>
        <x:v>节点1 / 节点5 / 节点8 / 节点5 / 节点1</x:v>
      </x:c>
      <x:c r="D8" s="57" t="str">
        <x:v>节点1</x:v>
      </x:c>
      <x:c r="E8" s="57" t="str">
        <x:v>节点5</x:v>
      </x:c>
      <x:c r="F8" s="57" t="str">
        <x:v>节点8</x:v>
      </x:c>
      <x:c r="G8" s="57" t="str">
        <x:v>节点5</x:v>
      </x:c>
      <x:c r="H8" s="57" t="str">
        <x:v>节点1</x:v>
      </x:c>
      <x:c r="I8" s="58" t="str">
        <x:f>IF(COUNTIF(D8:H8,"月检库节点5")&gt;0,"“月5”按月检库节点5统计","")</x:f>
      </x:c>
      <x:c r="J8" s="59" t="n">
        <x:f>COUNTA(D8:H8)</x:f>
        <x:v>5</x:v>
      </x:c>
    </x:row>
    <x:row r="9" ht="22" customHeight="1">
      <x:c r="A9" s="57" t="str">
        <x:v>图片1</x:v>
      </x:c>
      <x:c r="B9" s="57" t="n">
        <x:v>5</x:v>
      </x:c>
      <x:c r="C9" s="58" t="str">
        <x:f>D9&amp;" / "&amp;E9&amp;" / "&amp;F9&amp;" / "&amp;G9&amp;" / "&amp;H9</x:f>
        <x:v>节点1 / 节点5 / 节点8 / 节点5 / 节点1</x:v>
      </x:c>
      <x:c r="D9" s="57" t="str">
        <x:v>节点1</x:v>
      </x:c>
      <x:c r="E9" s="57" t="str">
        <x:v>节点5</x:v>
      </x:c>
      <x:c r="F9" s="57" t="str">
        <x:v>节点8</x:v>
      </x:c>
      <x:c r="G9" s="57" t="str">
        <x:v>节点5</x:v>
      </x:c>
      <x:c r="H9" s="57" t="str">
        <x:v>节点1</x:v>
      </x:c>
      <x:c r="I9" s="58" t="str">
        <x:f>IF(COUNTIF(D9:H9,"月检库节点5")&gt;0,"“月5”按月检库节点5统计","")</x:f>
      </x:c>
      <x:c r="J9" s="59" t="n">
        <x:f>COUNTA(D9:H9)</x:f>
        <x:v>5</x:v>
      </x:c>
    </x:row>
    <x:row r="10" ht="22" customHeight="1">
      <x:c r="A10" s="57" t="str">
        <x:v>图片1</x:v>
      </x:c>
      <x:c r="B10" s="57" t="n">
        <x:v>6</x:v>
      </x:c>
      <x:c r="C10" s="58" t="str">
        <x:f>D10&amp;" / "&amp;E10&amp;" / "&amp;F10&amp;" / "&amp;G10&amp;" / "&amp;H10</x:f>
        <x:v>节点1 / 节点5 / 节点8 / 节点5 / 节点1</x:v>
      </x:c>
      <x:c r="D10" s="57" t="str">
        <x:v>节点1</x:v>
      </x:c>
      <x:c r="E10" s="57" t="str">
        <x:v>节点5</x:v>
      </x:c>
      <x:c r="F10" s="57" t="str">
        <x:v>节点8</x:v>
      </x:c>
      <x:c r="G10" s="57" t="str">
        <x:v>节点5</x:v>
      </x:c>
      <x:c r="H10" s="57" t="str">
        <x:v>节点1</x:v>
      </x:c>
      <x:c r="I10" s="58" t="str">
        <x:f>IF(COUNTIF(D10:H10,"月检库节点5")&gt;0,"“月5”按月检库节点5统计","")</x:f>
      </x:c>
      <x:c r="J10" s="59" t="n">
        <x:f>COUNTA(D10:H10)</x:f>
        <x:v>5</x:v>
      </x:c>
    </x:row>
    <x:row r="11" ht="22" customHeight="1">
      <x:c r="A11" s="57" t="str">
        <x:v>图片1</x:v>
      </x:c>
      <x:c r="B11" s="57" t="n">
        <x:v>7</x:v>
      </x:c>
      <x:c r="C11" s="58" t="str">
        <x:f>D11&amp;" / "&amp;E11&amp;" / "&amp;F11&amp;" / "&amp;G11&amp;" / "&amp;H11</x:f>
        <x:v>节点1 / 节点5 / 节点8 / 节点5 / 节点1</x:v>
      </x:c>
      <x:c r="D11" s="57" t="str">
        <x:v>节点1</x:v>
      </x:c>
      <x:c r="E11" s="57" t="str">
        <x:v>节点5</x:v>
      </x:c>
      <x:c r="F11" s="57" t="str">
        <x:v>节点8</x:v>
      </x:c>
      <x:c r="G11" s="57" t="str">
        <x:v>节点5</x:v>
      </x:c>
      <x:c r="H11" s="57" t="str">
        <x:v>节点1</x:v>
      </x:c>
      <x:c r="I11" s="58" t="str">
        <x:f>IF(COUNTIF(D11:H11,"月检库节点5")&gt;0,"“月5”按月检库节点5统计","")</x:f>
      </x:c>
      <x:c r="J11" s="59" t="n">
        <x:f>COUNTA(D11:H11)</x:f>
        <x:v>5</x:v>
      </x:c>
    </x:row>
    <x:row r="12" ht="22" customHeight="1">
      <x:c r="A12" s="57" t="str">
        <x:v>图片1</x:v>
      </x:c>
      <x:c r="B12" s="57" t="n">
        <x:v>8</x:v>
      </x:c>
      <x:c r="C12" s="58" t="str">
        <x:f>D12&amp;" / "&amp;E12&amp;" / "&amp;F12&amp;" / "&amp;G12&amp;" / "&amp;H12</x:f>
        <x:v>节点1 / 节点5 / 节点8 / 节点5 / 节点1</x:v>
      </x:c>
      <x:c r="D12" s="57" t="str">
        <x:v>节点1</x:v>
      </x:c>
      <x:c r="E12" s="57" t="str">
        <x:v>节点5</x:v>
      </x:c>
      <x:c r="F12" s="57" t="str">
        <x:v>节点8</x:v>
      </x:c>
      <x:c r="G12" s="57" t="str">
        <x:v>节点5</x:v>
      </x:c>
      <x:c r="H12" s="57" t="str">
        <x:v>节点1</x:v>
      </x:c>
      <x:c r="I12" s="58" t="str">
        <x:f>IF(COUNTIF(D12:H12,"月检库节点5")&gt;0,"“月5”按月检库节点5统计","")</x:f>
      </x:c>
      <x:c r="J12" s="59" t="n">
        <x:f>COUNTA(D12:H12)</x:f>
        <x:v>5</x:v>
      </x:c>
    </x:row>
    <x:row r="13" ht="22" customHeight="1">
      <x:c r="A13" s="57" t="str">
        <x:v>图片1</x:v>
      </x:c>
      <x:c r="B13" s="57" t="n">
        <x:v>9</x:v>
      </x:c>
      <x:c r="C13" s="58" t="str">
        <x:f>D13&amp;" / "&amp;E13&amp;" / "&amp;F13&amp;" / "&amp;G13&amp;" / "&amp;H13</x:f>
        <x:v>节点1 / 节点5 / 节点8 / 节点5 / 节点1</x:v>
      </x:c>
      <x:c r="D13" s="57" t="str">
        <x:v>节点1</x:v>
      </x:c>
      <x:c r="E13" s="57" t="str">
        <x:v>节点5</x:v>
      </x:c>
      <x:c r="F13" s="57" t="str">
        <x:v>节点8</x:v>
      </x:c>
      <x:c r="G13" s="57" t="str">
        <x:v>节点5</x:v>
      </x:c>
      <x:c r="H13" s="57" t="str">
        <x:v>节点1</x:v>
      </x:c>
      <x:c r="I13" s="58" t="str">
        <x:f>IF(COUNTIF(D13:H13,"月检库节点5")&gt;0,"“月5”按月检库节点5统计","")</x:f>
      </x:c>
      <x:c r="J13" s="59" t="n">
        <x:f>COUNTA(D13:H13)</x:f>
        <x:v>5</x:v>
      </x:c>
    </x:row>
    <x:row r="14" ht="22" customHeight="1">
      <x:c r="A14" s="57" t="str">
        <x:v>图片1</x:v>
      </x:c>
      <x:c r="B14" s="57" t="n">
        <x:v>10</x:v>
      </x:c>
      <x:c r="C14" s="58" t="str">
        <x:f>D14&amp;" / "&amp;E14&amp;" / "&amp;F14&amp;" / "&amp;G14&amp;" / "&amp;H14</x:f>
        <x:v>节点1 / 节点5 / 节点8 / 节点5 / 节点1</x:v>
      </x:c>
      <x:c r="D14" s="57" t="str">
        <x:v>节点1</x:v>
      </x:c>
      <x:c r="E14" s="57" t="str">
        <x:v>节点5</x:v>
      </x:c>
      <x:c r="F14" s="57" t="str">
        <x:v>节点8</x:v>
      </x:c>
      <x:c r="G14" s="57" t="str">
        <x:v>节点5</x:v>
      </x:c>
      <x:c r="H14" s="57" t="str">
        <x:v>节点1</x:v>
      </x:c>
      <x:c r="I14" s="58" t="str">
        <x:f>IF(COUNTIF(D14:H14,"月检库节点5")&gt;0,"“月5”按月检库节点5统计","")</x:f>
      </x:c>
      <x:c r="J14" s="59" t="n">
        <x:f>COUNTA(D14:H14)</x:f>
        <x:v>5</x:v>
      </x:c>
    </x:row>
    <x:row r="15" ht="22" customHeight="1">
      <x:c r="A15" s="57" t="str">
        <x:v>图片1</x:v>
      </x:c>
      <x:c r="B15" s="57" t="n">
        <x:v>11</x:v>
      </x:c>
      <x:c r="C15" s="58" t="str">
        <x:f>D15&amp;" / "&amp;E15&amp;" / "&amp;F15&amp;" / "&amp;G15&amp;" / "&amp;H15</x:f>
        <x:v>节点1 / 节点5 / 节点8 / 节点5 / 节点1</x:v>
      </x:c>
      <x:c r="D15" s="57" t="str">
        <x:v>节点1</x:v>
      </x:c>
      <x:c r="E15" s="57" t="str">
        <x:v>节点5</x:v>
      </x:c>
      <x:c r="F15" s="57" t="str">
        <x:v>节点8</x:v>
      </x:c>
      <x:c r="G15" s="57" t="str">
        <x:v>节点5</x:v>
      </x:c>
      <x:c r="H15" s="57" t="str">
        <x:v>节点1</x:v>
      </x:c>
      <x:c r="I15" s="58" t="str">
        <x:f>IF(COUNTIF(D15:H15,"月检库节点5")&gt;0,"“月5”按月检库节点5统计","")</x:f>
      </x:c>
      <x:c r="J15" s="59" t="n">
        <x:f>COUNTA(D15:H15)</x:f>
        <x:v>5</x:v>
      </x:c>
    </x:row>
    <x:row r="16" ht="22" customHeight="1">
      <x:c r="A16" s="57" t="str">
        <x:v>图片1</x:v>
      </x:c>
      <x:c r="B16" s="57" t="n">
        <x:v>12</x:v>
      </x:c>
      <x:c r="C16" s="58" t="str">
        <x:f>D16&amp;" / "&amp;E16&amp;" / "&amp;F16&amp;" / "&amp;G16&amp;" / "&amp;H16</x:f>
        <x:v>节点1 / 节点5 / 节点8 / 节点5 / 节点1</x:v>
      </x:c>
      <x:c r="D16" s="57" t="str">
        <x:v>节点1</x:v>
      </x:c>
      <x:c r="E16" s="57" t="str">
        <x:v>节点5</x:v>
      </x:c>
      <x:c r="F16" s="57" t="str">
        <x:v>节点8</x:v>
      </x:c>
      <x:c r="G16" s="57" t="str">
        <x:v>节点5</x:v>
      </x:c>
      <x:c r="H16" s="57" t="str">
        <x:v>节点1</x:v>
      </x:c>
      <x:c r="I16" s="58" t="str">
        <x:f>IF(COUNTIF(D16:H16,"月检库节点5")&gt;0,"“月5”按月检库节点5统计","")</x:f>
      </x:c>
      <x:c r="J16" s="59" t="n">
        <x:f>COUNTA(D16:H16)</x:f>
        <x:v>5</x:v>
      </x:c>
    </x:row>
    <x:row r="17" ht="22" customHeight="1">
      <x:c r="A17" s="57" t="str">
        <x:v>图片1</x:v>
      </x:c>
      <x:c r="B17" s="57" t="n">
        <x:v>13</x:v>
      </x:c>
      <x:c r="C17" s="58" t="str">
        <x:f>D17&amp;" / "&amp;E17&amp;" / "&amp;F17&amp;" / "&amp;G17&amp;" / "&amp;H17</x:f>
        <x:v>节点1 / 节点5 / 节点8 / 节点5 / 节点1</x:v>
      </x:c>
      <x:c r="D17" s="57" t="str">
        <x:v>节点1</x:v>
      </x:c>
      <x:c r="E17" s="57" t="str">
        <x:v>节点5</x:v>
      </x:c>
      <x:c r="F17" s="57" t="str">
        <x:v>节点8</x:v>
      </x:c>
      <x:c r="G17" s="57" t="str">
        <x:v>节点5</x:v>
      </x:c>
      <x:c r="H17" s="57" t="str">
        <x:v>节点1</x:v>
      </x:c>
      <x:c r="I17" s="58" t="str">
        <x:f>IF(COUNTIF(D17:H17,"月检库节点5")&gt;0,"“月5”按月检库节点5统计","")</x:f>
      </x:c>
      <x:c r="J17" s="59" t="n">
        <x:f>COUNTA(D17:H17)</x:f>
        <x:v>5</x:v>
      </x:c>
    </x:row>
    <x:row r="18" ht="22" customHeight="1">
      <x:c r="A18" s="57" t="str">
        <x:v>图片1</x:v>
      </x:c>
      <x:c r="B18" s="57" t="n">
        <x:v>14</x:v>
      </x:c>
      <x:c r="C18" s="58" t="str">
        <x:f>D18&amp;" / "&amp;E18&amp;" / "&amp;F18&amp;" / "&amp;G18&amp;" / "&amp;H18</x:f>
        <x:v>节点1 / 节点5 / 节点8 / 节点5 / 节点1</x:v>
      </x:c>
      <x:c r="D18" s="57" t="str">
        <x:v>节点1</x:v>
      </x:c>
      <x:c r="E18" s="57" t="str">
        <x:v>节点5</x:v>
      </x:c>
      <x:c r="F18" s="57" t="str">
        <x:v>节点8</x:v>
      </x:c>
      <x:c r="G18" s="57" t="str">
        <x:v>节点5</x:v>
      </x:c>
      <x:c r="H18" s="57" t="str">
        <x:v>节点1</x:v>
      </x:c>
      <x:c r="I18" s="58" t="str">
        <x:f>IF(COUNTIF(D18:H18,"月检库节点5")&gt;0,"“月5”按月检库节点5统计","")</x:f>
      </x:c>
      <x:c r="J18" s="59" t="n">
        <x:f>COUNTA(D18:H18)</x:f>
        <x:v>5</x:v>
      </x:c>
    </x:row>
    <x:row r="19" ht="22" customHeight="1">
      <x:c r="A19" s="57" t="str">
        <x:v>图片1</x:v>
      </x:c>
      <x:c r="B19" s="57" t="n">
        <x:v>15</x:v>
      </x:c>
      <x:c r="C19" s="58" t="str">
        <x:f>D19&amp;" / "&amp;E19&amp;" / "&amp;F19&amp;" / "&amp;G19&amp;" / "&amp;H19</x:f>
        <x:v>节点1 / 节点5 / 节点8 / 节点5 / 节点1</x:v>
      </x:c>
      <x:c r="D19" s="57" t="str">
        <x:v>节点1</x:v>
      </x:c>
      <x:c r="E19" s="57" t="str">
        <x:v>节点5</x:v>
      </x:c>
      <x:c r="F19" s="57" t="str">
        <x:v>节点8</x:v>
      </x:c>
      <x:c r="G19" s="57" t="str">
        <x:v>节点5</x:v>
      </x:c>
      <x:c r="H19" s="57" t="str">
        <x:v>节点1</x:v>
      </x:c>
      <x:c r="I19" s="58" t="str">
        <x:f>IF(COUNTIF(D19:H19,"月检库节点5")&gt;0,"“月5”按月检库节点5统计","")</x:f>
      </x:c>
      <x:c r="J19" s="59" t="n">
        <x:f>COUNTA(D19:H19)</x:f>
        <x:v>5</x:v>
      </x:c>
    </x:row>
    <x:row r="20" ht="22" customHeight="1">
      <x:c r="A20" s="57" t="str">
        <x:v>图片1</x:v>
      </x:c>
      <x:c r="B20" s="57" t="n">
        <x:v>16</x:v>
      </x:c>
      <x:c r="C20" s="58" t="str">
        <x:f>D20&amp;" / "&amp;E20&amp;" / "&amp;F20&amp;" / "&amp;G20&amp;" / "&amp;H20</x:f>
        <x:v>节点1 / 节点5 / 节点8 / 节点5 / 节点1</x:v>
      </x:c>
      <x:c r="D20" s="57" t="str">
        <x:v>节点1</x:v>
      </x:c>
      <x:c r="E20" s="57" t="str">
        <x:v>节点5</x:v>
      </x:c>
      <x:c r="F20" s="57" t="str">
        <x:v>节点8</x:v>
      </x:c>
      <x:c r="G20" s="57" t="str">
        <x:v>节点5</x:v>
      </x:c>
      <x:c r="H20" s="57" t="str">
        <x:v>节点1</x:v>
      </x:c>
      <x:c r="I20" s="58" t="str">
        <x:f>IF(COUNTIF(D20:H20,"月检库节点5")&gt;0,"“月5”按月检库节点5统计","")</x:f>
      </x:c>
      <x:c r="J20" s="59" t="n">
        <x:f>COUNTA(D20:H20)</x:f>
        <x:v>5</x:v>
      </x:c>
    </x:row>
    <x:row r="21" ht="22" customHeight="1">
      <x:c r="A21" s="60" t="str">
        <x:v>图片2</x:v>
      </x:c>
      <x:c r="B21" s="60" t="n">
        <x:v>1</x:v>
      </x:c>
      <x:c r="C21" s="61" t="str">
        <x:f>D21&amp;" / "&amp;E21&amp;" / "&amp;F21&amp;" / "&amp;G21&amp;" / "&amp;H21</x:f>
        <x:v>节点1 / 节点5 / 节点8 / 节点5 / 节点1</x:v>
      </x:c>
      <x:c r="D21" s="60" t="str">
        <x:v>节点1</x:v>
      </x:c>
      <x:c r="E21" s="60" t="str">
        <x:v>节点5</x:v>
      </x:c>
      <x:c r="F21" s="60" t="str">
        <x:v>节点8</x:v>
      </x:c>
      <x:c r="G21" s="60" t="str">
        <x:v>节点5</x:v>
      </x:c>
      <x:c r="H21" s="60" t="str">
        <x:v>节点1</x:v>
      </x:c>
      <x:c r="I21" s="61" t="str">
        <x:f>IF(COUNTIF(D21:H21,"月检库节点5")&gt;0,"“月5”按月检库节点5统计","")</x:f>
      </x:c>
      <x:c r="J21" s="62" t="n">
        <x:f>COUNTA(D21:H21)</x:f>
        <x:v>5</x:v>
      </x:c>
    </x:row>
    <x:row r="22" ht="22" customHeight="1">
      <x:c r="A22" s="60" t="str">
        <x:v>图片2</x:v>
      </x:c>
      <x:c r="B22" s="60" t="n">
        <x:v>2</x:v>
      </x:c>
      <x:c r="C22" s="61" t="str">
        <x:f>D22&amp;" / "&amp;E22&amp;" / "&amp;F22&amp;" / "&amp;G22&amp;" / "&amp;H22</x:f>
        <x:v>节点1 / 节点5 / 节点8 / 节点5 / 节点1</x:v>
      </x:c>
      <x:c r="D22" s="60" t="str">
        <x:v>节点1</x:v>
      </x:c>
      <x:c r="E22" s="60" t="str">
        <x:v>节点5</x:v>
      </x:c>
      <x:c r="F22" s="60" t="str">
        <x:v>节点8</x:v>
      </x:c>
      <x:c r="G22" s="60" t="str">
        <x:v>节点5</x:v>
      </x:c>
      <x:c r="H22" s="60" t="str">
        <x:v>节点1</x:v>
      </x:c>
      <x:c r="I22" s="61" t="str">
        <x:f>IF(COUNTIF(D22:H22,"月检库节点5")&gt;0,"“月5”按月检库节点5统计","")</x:f>
      </x:c>
      <x:c r="J22" s="62" t="n">
        <x:f>COUNTA(D22:H22)</x:f>
        <x:v>5</x:v>
      </x:c>
    </x:row>
    <x:row r="23" ht="22" customHeight="1">
      <x:c r="A23" s="60" t="str">
        <x:v>图片2</x:v>
      </x:c>
      <x:c r="B23" s="60" t="n">
        <x:v>3</x:v>
      </x:c>
      <x:c r="C23" s="61" t="str">
        <x:f>D23&amp;" / "&amp;E23&amp;" / "&amp;F23&amp;" / "&amp;G23&amp;" / "&amp;H23</x:f>
        <x:v>节点1 / 节点5 / 节点8 / 节点5 / 节点1</x:v>
      </x:c>
      <x:c r="D23" s="60" t="str">
        <x:v>节点1</x:v>
      </x:c>
      <x:c r="E23" s="60" t="str">
        <x:v>节点5</x:v>
      </x:c>
      <x:c r="F23" s="60" t="str">
        <x:v>节点8</x:v>
      </x:c>
      <x:c r="G23" s="60" t="str">
        <x:v>节点5</x:v>
      </x:c>
      <x:c r="H23" s="60" t="str">
        <x:v>节点1</x:v>
      </x:c>
      <x:c r="I23" s="61" t="str">
        <x:f>IF(COUNTIF(D23:H23,"月检库节点5")&gt;0,"“月5”按月检库节点5统计","")</x:f>
      </x:c>
      <x:c r="J23" s="62" t="n">
        <x:f>COUNTA(D23:H23)</x:f>
        <x:v>5</x:v>
      </x:c>
    </x:row>
    <x:row r="24" ht="22" customHeight="1">
      <x:c r="A24" s="60" t="str">
        <x:v>图片2</x:v>
      </x:c>
      <x:c r="B24" s="60" t="n">
        <x:v>4</x:v>
      </x:c>
      <x:c r="C24" s="61" t="str">
        <x:f>D24&amp;" / "&amp;E24&amp;" / "&amp;F24&amp;" / "&amp;G24&amp;" / "&amp;H24</x:f>
        <x:v>节点1 / 节点5 / 节点8 / 节点5 / 节点1</x:v>
      </x:c>
      <x:c r="D24" s="60" t="str">
        <x:v>节点1</x:v>
      </x:c>
      <x:c r="E24" s="60" t="str">
        <x:v>节点5</x:v>
      </x:c>
      <x:c r="F24" s="60" t="str">
        <x:v>节点8</x:v>
      </x:c>
      <x:c r="G24" s="60" t="str">
        <x:v>节点5</x:v>
      </x:c>
      <x:c r="H24" s="60" t="str">
        <x:v>节点1</x:v>
      </x:c>
      <x:c r="I24" s="61" t="str">
        <x:f>IF(COUNTIF(D24:H24,"月检库节点5")&gt;0,"“月5”按月检库节点5统计","")</x:f>
      </x:c>
      <x:c r="J24" s="62" t="n">
        <x:f>COUNTA(D24:H24)</x:f>
        <x:v>5</x:v>
      </x:c>
    </x:row>
    <x:row r="25" ht="22" customHeight="1">
      <x:c r="A25" s="60" t="str">
        <x:v>图片2</x:v>
      </x:c>
      <x:c r="B25" s="60" t="n">
        <x:v>5</x:v>
      </x:c>
      <x:c r="C25" s="61" t="str">
        <x:f>D25&amp;" / "&amp;E25&amp;" / "&amp;F25&amp;" / "&amp;G25&amp;" / "&amp;H25</x:f>
        <x:v>节点1 / 节点5 / 节点8 / 节点5 / 节点1</x:v>
      </x:c>
      <x:c r="D25" s="60" t="str">
        <x:v>节点1</x:v>
      </x:c>
      <x:c r="E25" s="60" t="str">
        <x:v>节点5</x:v>
      </x:c>
      <x:c r="F25" s="60" t="str">
        <x:v>节点8</x:v>
      </x:c>
      <x:c r="G25" s="60" t="str">
        <x:v>节点5</x:v>
      </x:c>
      <x:c r="H25" s="60" t="str">
        <x:v>节点1</x:v>
      </x:c>
      <x:c r="I25" s="61" t="str">
        <x:f>IF(COUNTIF(D25:H25,"月检库节点5")&gt;0,"“月5”按月检库节点5统计","")</x:f>
      </x:c>
      <x:c r="J25" s="62" t="n">
        <x:f>COUNTA(D25:H25)</x:f>
        <x:v>5</x:v>
      </x:c>
    </x:row>
    <x:row r="26" ht="22" customHeight="1">
      <x:c r="A26" s="60" t="str">
        <x:v>图片2</x:v>
      </x:c>
      <x:c r="B26" s="60" t="n">
        <x:v>6</x:v>
      </x:c>
      <x:c r="C26" s="61" t="str">
        <x:f>D26&amp;" / "&amp;E26&amp;" / "&amp;F26&amp;" / "&amp;G26&amp;" / "&amp;H26</x:f>
        <x:v>节点1 / 节点5 / 节点8 / 节点5 / 节点1</x:v>
      </x:c>
      <x:c r="D26" s="60" t="str">
        <x:v>节点1</x:v>
      </x:c>
      <x:c r="E26" s="60" t="str">
        <x:v>节点5</x:v>
      </x:c>
      <x:c r="F26" s="60" t="str">
        <x:v>节点8</x:v>
      </x:c>
      <x:c r="G26" s="60" t="str">
        <x:v>节点5</x:v>
      </x:c>
      <x:c r="H26" s="60" t="str">
        <x:v>节点1</x:v>
      </x:c>
      <x:c r="I26" s="61" t="str">
        <x:f>IF(COUNTIF(D26:H26,"月检库节点5")&gt;0,"“月5”按月检库节点5统计","")</x:f>
      </x:c>
      <x:c r="J26" s="62" t="n">
        <x:f>COUNTA(D26:H26)</x:f>
        <x:v>5</x:v>
      </x:c>
    </x:row>
    <x:row r="27" ht="22" customHeight="1">
      <x:c r="A27" s="60" t="str">
        <x:v>图片2</x:v>
      </x:c>
      <x:c r="B27" s="60" t="n">
        <x:v>7</x:v>
      </x:c>
      <x:c r="C27" s="61" t="str">
        <x:f>D27&amp;" / "&amp;E27&amp;" / "&amp;F27&amp;" / "&amp;G27&amp;" / "&amp;H27</x:f>
        <x:v>节点1 / 节点5 / 节点8 / 节点5 / 节点1</x:v>
      </x:c>
      <x:c r="D27" s="60" t="str">
        <x:v>节点1</x:v>
      </x:c>
      <x:c r="E27" s="60" t="str">
        <x:v>节点5</x:v>
      </x:c>
      <x:c r="F27" s="60" t="str">
        <x:v>节点8</x:v>
      </x:c>
      <x:c r="G27" s="60" t="str">
        <x:v>节点5</x:v>
      </x:c>
      <x:c r="H27" s="60" t="str">
        <x:v>节点1</x:v>
      </x:c>
      <x:c r="I27" s="61" t="str">
        <x:f>IF(COUNTIF(D27:H27,"月检库节点5")&gt;0,"“月5”按月检库节点5统计","")</x:f>
      </x:c>
      <x:c r="J27" s="62" t="n">
        <x:f>COUNTA(D27:H27)</x:f>
        <x:v>5</x:v>
      </x:c>
    </x:row>
    <x:row r="28" ht="22" customHeight="1">
      <x:c r="A28" s="60" t="str">
        <x:v>图片2</x:v>
      </x:c>
      <x:c r="B28" s="60" t="n">
        <x:v>8</x:v>
      </x:c>
      <x:c r="C28" s="61" t="str">
        <x:f>D28&amp;" / "&amp;E28&amp;" / "&amp;F28&amp;" / "&amp;G28&amp;" / "&amp;H28</x:f>
        <x:v>节点1 / 节点5 / 节点8 / 节点5 / 节点1</x:v>
      </x:c>
      <x:c r="D28" s="60" t="str">
        <x:v>节点1</x:v>
      </x:c>
      <x:c r="E28" s="60" t="str">
        <x:v>节点5</x:v>
      </x:c>
      <x:c r="F28" s="60" t="str">
        <x:v>节点8</x:v>
      </x:c>
      <x:c r="G28" s="60" t="str">
        <x:v>节点5</x:v>
      </x:c>
      <x:c r="H28" s="60" t="str">
        <x:v>节点1</x:v>
      </x:c>
      <x:c r="I28" s="61" t="str">
        <x:f>IF(COUNTIF(D28:H28,"月检库节点5")&gt;0,"“月5”按月检库节点5统计","")</x:f>
      </x:c>
      <x:c r="J28" s="62" t="n">
        <x:f>COUNTA(D28:H28)</x:f>
        <x:v>5</x:v>
      </x:c>
    </x:row>
    <x:row r="29" ht="22" customHeight="1">
      <x:c r="A29" s="60" t="str">
        <x:v>图片2</x:v>
      </x:c>
      <x:c r="B29" s="60" t="n">
        <x:v>9</x:v>
      </x:c>
      <x:c r="C29" s="61" t="str">
        <x:f>D29&amp;" / "&amp;E29&amp;" / "&amp;F29&amp;" / "&amp;G29&amp;" / "&amp;H29</x:f>
        <x:v>节点1 / 节点5 / 节点8 / 节点5 / 节点1</x:v>
      </x:c>
      <x:c r="D29" s="60" t="str">
        <x:v>节点1</x:v>
      </x:c>
      <x:c r="E29" s="60" t="str">
        <x:v>节点5</x:v>
      </x:c>
      <x:c r="F29" s="60" t="str">
        <x:v>节点8</x:v>
      </x:c>
      <x:c r="G29" s="60" t="str">
        <x:v>节点5</x:v>
      </x:c>
      <x:c r="H29" s="60" t="str">
        <x:v>节点1</x:v>
      </x:c>
      <x:c r="I29" s="61" t="str">
        <x:f>IF(COUNTIF(D29:H29,"月检库节点5")&gt;0,"“月5”按月检库节点5统计","")</x:f>
      </x:c>
      <x:c r="J29" s="62" t="n">
        <x:f>COUNTA(D29:H29)</x:f>
        <x:v>5</x:v>
      </x:c>
    </x:row>
    <x:row r="30" ht="22" customHeight="1">
      <x:c r="A30" s="60" t="str">
        <x:v>图片2</x:v>
      </x:c>
      <x:c r="B30" s="60" t="n">
        <x:v>10</x:v>
      </x:c>
      <x:c r="C30" s="61" t="str">
        <x:f>D30&amp;" / "&amp;E30&amp;" / "&amp;F30&amp;" / "&amp;G30&amp;" / "&amp;H30</x:f>
        <x:v>节点1 / 节点5 / 节点8 / 节点5 / 节点1</x:v>
      </x:c>
      <x:c r="D30" s="60" t="str">
        <x:v>节点1</x:v>
      </x:c>
      <x:c r="E30" s="60" t="str">
        <x:v>节点5</x:v>
      </x:c>
      <x:c r="F30" s="60" t="str">
        <x:v>节点8</x:v>
      </x:c>
      <x:c r="G30" s="60" t="str">
        <x:v>节点5</x:v>
      </x:c>
      <x:c r="H30" s="60" t="str">
        <x:v>节点1</x:v>
      </x:c>
      <x:c r="I30" s="61" t="str">
        <x:f>IF(COUNTIF(D30:H30,"月检库节点5")&gt;0,"“月5”按月检库节点5统计","")</x:f>
      </x:c>
      <x:c r="J30" s="62" t="n">
        <x:f>COUNTA(D30:H30)</x:f>
        <x:v>5</x:v>
      </x:c>
    </x:row>
    <x:row r="31" ht="22" customHeight="1">
      <x:c r="A31" s="60" t="str">
        <x:v>图片2</x:v>
      </x:c>
      <x:c r="B31" s="60" t="n">
        <x:v>11</x:v>
      </x:c>
      <x:c r="C31" s="61" t="str">
        <x:f>D31&amp;" / "&amp;E31&amp;" / "&amp;F31&amp;" / "&amp;G31&amp;" / "&amp;H31</x:f>
        <x:v>节点1 / 节点5 / 节点8 / 节点5 / 节点1</x:v>
      </x:c>
      <x:c r="D31" s="60" t="str">
        <x:v>节点1</x:v>
      </x:c>
      <x:c r="E31" s="60" t="str">
        <x:v>节点5</x:v>
      </x:c>
      <x:c r="F31" s="60" t="str">
        <x:v>节点8</x:v>
      </x:c>
      <x:c r="G31" s="60" t="str">
        <x:v>节点5</x:v>
      </x:c>
      <x:c r="H31" s="60" t="str">
        <x:v>节点1</x:v>
      </x:c>
      <x:c r="I31" s="61" t="str">
        <x:f>IF(COUNTIF(D31:H31,"月检库节点5")&gt;0,"“月5”按月检库节点5统计","")</x:f>
      </x:c>
      <x:c r="J31" s="62" t="n">
        <x:f>COUNTA(D31:H31)</x:f>
        <x:v>5</x:v>
      </x:c>
    </x:row>
    <x:row r="32" ht="22" customHeight="1">
      <x:c r="A32" s="60" t="str">
        <x:v>图片2</x:v>
      </x:c>
      <x:c r="B32" s="60" t="n">
        <x:v>12</x:v>
      </x:c>
      <x:c r="C32" s="61" t="str">
        <x:f>D32&amp;" / "&amp;E32&amp;" / "&amp;F32&amp;" / "&amp;G32&amp;" / "&amp;H32</x:f>
        <x:v>节点1 / 节点5 / 节点8 / 节点5 / 节点1</x:v>
      </x:c>
      <x:c r="D32" s="60" t="str">
        <x:v>节点1</x:v>
      </x:c>
      <x:c r="E32" s="60" t="str">
        <x:v>节点5</x:v>
      </x:c>
      <x:c r="F32" s="60" t="str">
        <x:v>节点8</x:v>
      </x:c>
      <x:c r="G32" s="60" t="str">
        <x:v>节点5</x:v>
      </x:c>
      <x:c r="H32" s="60" t="str">
        <x:v>节点1</x:v>
      </x:c>
      <x:c r="I32" s="61" t="str">
        <x:f>IF(COUNTIF(D32:H32,"月检库节点5")&gt;0,"“月5”按月检库节点5统计","")</x:f>
      </x:c>
      <x:c r="J32" s="62" t="n">
        <x:f>COUNTA(D32:H32)</x:f>
        <x:v>5</x:v>
      </x:c>
    </x:row>
    <x:row r="33" ht="22" customHeight="1">
      <x:c r="A33" s="60" t="str">
        <x:v>图片2</x:v>
      </x:c>
      <x:c r="B33" s="60" t="n">
        <x:v>13</x:v>
      </x:c>
      <x:c r="C33" s="61" t="str">
        <x:f>D33&amp;" / "&amp;E33&amp;" / "&amp;F33&amp;" / "&amp;G33&amp;" / "&amp;H33</x:f>
        <x:v>节点1 / 节点5 / 节点8 / 节点5 / 节点1</x:v>
      </x:c>
      <x:c r="D33" s="60" t="str">
        <x:v>节点1</x:v>
      </x:c>
      <x:c r="E33" s="60" t="str">
        <x:v>节点5</x:v>
      </x:c>
      <x:c r="F33" s="60" t="str">
        <x:v>节点8</x:v>
      </x:c>
      <x:c r="G33" s="60" t="str">
        <x:v>节点5</x:v>
      </x:c>
      <x:c r="H33" s="60" t="str">
        <x:v>节点1</x:v>
      </x:c>
      <x:c r="I33" s="61" t="str">
        <x:f>IF(COUNTIF(D33:H33,"月检库节点5")&gt;0,"“月5”按月检库节点5统计","")</x:f>
      </x:c>
      <x:c r="J33" s="62" t="n">
        <x:f>COUNTA(D33:H33)</x:f>
        <x:v>5</x:v>
      </x:c>
    </x:row>
    <x:row r="34" ht="22" customHeight="1">
      <x:c r="A34" s="60" t="str">
        <x:v>图片2</x:v>
      </x:c>
      <x:c r="B34" s="60" t="n">
        <x:v>14</x:v>
      </x:c>
      <x:c r="C34" s="61" t="str">
        <x:f>D34&amp;" / "&amp;E34&amp;" / "&amp;F34&amp;" / "&amp;G34&amp;" / "&amp;H34</x:f>
        <x:v>节点1 / 节点5 / 节点8 / 节点5 / 节点1</x:v>
      </x:c>
      <x:c r="D34" s="60" t="str">
        <x:v>节点1</x:v>
      </x:c>
      <x:c r="E34" s="60" t="str">
        <x:v>节点5</x:v>
      </x:c>
      <x:c r="F34" s="60" t="str">
        <x:v>节点8</x:v>
      </x:c>
      <x:c r="G34" s="60" t="str">
        <x:v>节点5</x:v>
      </x:c>
      <x:c r="H34" s="60" t="str">
        <x:v>节点1</x:v>
      </x:c>
      <x:c r="I34" s="61" t="str">
        <x:f>IF(COUNTIF(D34:H34,"月检库节点5")&gt;0,"“月5”按月检库节点5统计","")</x:f>
      </x:c>
      <x:c r="J34" s="62" t="n">
        <x:f>COUNTA(D34:H34)</x:f>
        <x:v>5</x:v>
      </x:c>
    </x:row>
    <x:row r="35" ht="22" customHeight="1">
      <x:c r="A35" s="60" t="str">
        <x:v>图片2</x:v>
      </x:c>
      <x:c r="B35" s="60" t="n">
        <x:v>15</x:v>
      </x:c>
      <x:c r="C35" s="61" t="str">
        <x:f>D35&amp;" / "&amp;E35&amp;" / "&amp;F35&amp;" / "&amp;G35&amp;" / "&amp;H35</x:f>
        <x:v>节点1 / 节点5 / 节点8 / 节点5 / 节点1</x:v>
      </x:c>
      <x:c r="D35" s="60" t="str">
        <x:v>节点1</x:v>
      </x:c>
      <x:c r="E35" s="60" t="str">
        <x:v>节点5</x:v>
      </x:c>
      <x:c r="F35" s="60" t="str">
        <x:v>节点8</x:v>
      </x:c>
      <x:c r="G35" s="60" t="str">
        <x:v>节点5</x:v>
      </x:c>
      <x:c r="H35" s="60" t="str">
        <x:v>节点1</x:v>
      </x:c>
      <x:c r="I35" s="61" t="str">
        <x:f>IF(COUNTIF(D35:H35,"月检库节点5")&gt;0,"“月5”按月检库节点5统计","")</x:f>
      </x:c>
      <x:c r="J35" s="62" t="n">
        <x:f>COUNTA(D35:H35)</x:f>
        <x:v>5</x:v>
      </x:c>
    </x:row>
    <x:row r="36" ht="22" customHeight="1">
      <x:c r="A36" s="60" t="str">
        <x:v>图片2</x:v>
      </x:c>
      <x:c r="B36" s="60" t="n">
        <x:v>16</x:v>
      </x:c>
      <x:c r="C36" s="61" t="str">
        <x:f>D36&amp;" / "&amp;E36&amp;" / "&amp;F36&amp;" / "&amp;G36&amp;" / "&amp;H36</x:f>
        <x:v>节点1 / 节点5 / 节点8 / 节点5 / 节点1</x:v>
      </x:c>
      <x:c r="D36" s="60" t="str">
        <x:v>节点1</x:v>
      </x:c>
      <x:c r="E36" s="60" t="str">
        <x:v>节点5</x:v>
      </x:c>
      <x:c r="F36" s="60" t="str">
        <x:v>节点8</x:v>
      </x:c>
      <x:c r="G36" s="60" t="str">
        <x:v>节点5</x:v>
      </x:c>
      <x:c r="H36" s="60" t="str">
        <x:v>节点1</x:v>
      </x:c>
      <x:c r="I36" s="61" t="str">
        <x:f>IF(COUNTIF(D36:H36,"月检库节点5")&gt;0,"“月5”按月检库节点5统计","")</x:f>
      </x:c>
      <x:c r="J36" s="62" t="n">
        <x:f>COUNTA(D36:H36)</x:f>
        <x:v>5</x:v>
      </x:c>
    </x:row>
    <x:row r="37" ht="22" customHeight="1">
      <x:c r="A37" s="57" t="str">
        <x:v>图片3</x:v>
      </x:c>
      <x:c r="B37" s="57" t="n">
        <x:v>1</x:v>
      </x:c>
      <x:c r="C37" s="58" t="str">
        <x:f>D37&amp;" / "&amp;E37&amp;" / "&amp;F37&amp;" / "&amp;G37&amp;" / "&amp;H37</x:f>
        <x:v>节点1 / 节点5 / 节点8 / 节点5 / 节点1</x:v>
      </x:c>
      <x:c r="D37" s="57" t="str">
        <x:v>节点1</x:v>
      </x:c>
      <x:c r="E37" s="57" t="str">
        <x:v>节点5</x:v>
      </x:c>
      <x:c r="F37" s="57" t="str">
        <x:v>节点8</x:v>
      </x:c>
      <x:c r="G37" s="57" t="str">
        <x:v>节点5</x:v>
      </x:c>
      <x:c r="H37" s="57" t="str">
        <x:v>节点1</x:v>
      </x:c>
      <x:c r="I37" s="58" t="str">
        <x:f>IF(COUNTIF(D37:H37,"月检库节点5")&gt;0,"“月5”按月检库节点5统计","")</x:f>
      </x:c>
      <x:c r="J37" s="59" t="n">
        <x:f>COUNTA(D37:H37)</x:f>
        <x:v>5</x:v>
      </x:c>
    </x:row>
    <x:row r="38" ht="22" customHeight="1">
      <x:c r="A38" s="57" t="str">
        <x:v>图片3</x:v>
      </x:c>
      <x:c r="B38" s="57" t="n">
        <x:v>2</x:v>
      </x:c>
      <x:c r="C38" s="58" t="str">
        <x:f>D38&amp;" / "&amp;E38&amp;" / "&amp;F38&amp;" / "&amp;G38&amp;" / "&amp;H38</x:f>
        <x:v>节点1 / 节点5 / 节点8 / 节点5 / 节点1</x:v>
      </x:c>
      <x:c r="D38" s="57" t="str">
        <x:v>节点1</x:v>
      </x:c>
      <x:c r="E38" s="57" t="str">
        <x:v>节点5</x:v>
      </x:c>
      <x:c r="F38" s="57" t="str">
        <x:v>节点8</x:v>
      </x:c>
      <x:c r="G38" s="57" t="str">
        <x:v>节点5</x:v>
      </x:c>
      <x:c r="H38" s="57" t="str">
        <x:v>节点1</x:v>
      </x:c>
      <x:c r="I38" s="58" t="str">
        <x:f>IF(COUNTIF(D38:H38,"月检库节点5")&gt;0,"“月5”按月检库节点5统计","")</x:f>
      </x:c>
      <x:c r="J38" s="59" t="n">
        <x:f>COUNTA(D38:H38)</x:f>
        <x:v>5</x:v>
      </x:c>
    </x:row>
    <x:row r="39" ht="22" customHeight="1">
      <x:c r="A39" s="57" t="str">
        <x:v>图片3</x:v>
      </x:c>
      <x:c r="B39" s="57" t="n">
        <x:v>3</x:v>
      </x:c>
      <x:c r="C39" s="58" t="str">
        <x:f>D39&amp;" / "&amp;E39&amp;" / "&amp;F39&amp;" / "&amp;G39&amp;" / "&amp;H39</x:f>
        <x:v>节点1 / 节点5 / 节点8 / 节点5 / 节点1</x:v>
      </x:c>
      <x:c r="D39" s="57" t="str">
        <x:v>节点1</x:v>
      </x:c>
      <x:c r="E39" s="57" t="str">
        <x:v>节点5</x:v>
      </x:c>
      <x:c r="F39" s="57" t="str">
        <x:v>节点8</x:v>
      </x:c>
      <x:c r="G39" s="57" t="str">
        <x:v>节点5</x:v>
      </x:c>
      <x:c r="H39" s="57" t="str">
        <x:v>节点1</x:v>
      </x:c>
      <x:c r="I39" s="58" t="str">
        <x:f>IF(COUNTIF(D39:H39,"月检库节点5")&gt;0,"“月5”按月检库节点5统计","")</x:f>
      </x:c>
      <x:c r="J39" s="59" t="n">
        <x:f>COUNTA(D39:H39)</x:f>
        <x:v>5</x:v>
      </x:c>
    </x:row>
    <x:row r="40" ht="22" customHeight="1">
      <x:c r="A40" s="57" t="str">
        <x:v>图片3</x:v>
      </x:c>
      <x:c r="B40" s="57" t="n">
        <x:v>4</x:v>
      </x:c>
      <x:c r="C40" s="58" t="str">
        <x:f>D40&amp;" / "&amp;E40&amp;" / "&amp;F40&amp;" / "&amp;G40&amp;" / "&amp;H40</x:f>
        <x:v>节点1 / 节点5 / 节点8 / 节点5 / 节点1</x:v>
      </x:c>
      <x:c r="D40" s="57" t="str">
        <x:v>节点1</x:v>
      </x:c>
      <x:c r="E40" s="57" t="str">
        <x:v>节点5</x:v>
      </x:c>
      <x:c r="F40" s="57" t="str">
        <x:v>节点8</x:v>
      </x:c>
      <x:c r="G40" s="57" t="str">
        <x:v>节点5</x:v>
      </x:c>
      <x:c r="H40" s="57" t="str">
        <x:v>节点1</x:v>
      </x:c>
      <x:c r="I40" s="58" t="str">
        <x:f>IF(COUNTIF(D40:H40,"月检库节点5")&gt;0,"“月5”按月检库节点5统计","")</x:f>
      </x:c>
      <x:c r="J40" s="59" t="n">
        <x:f>COUNTA(D40:H40)</x:f>
        <x:v>5</x:v>
      </x:c>
    </x:row>
    <x:row r="41" ht="22" customHeight="1">
      <x:c r="A41" s="57" t="str">
        <x:v>图片3</x:v>
      </x:c>
      <x:c r="B41" s="57" t="n">
        <x:v>5</x:v>
      </x:c>
      <x:c r="C41" s="58" t="str">
        <x:f>D41&amp;" / "&amp;E41&amp;" / "&amp;F41&amp;" / "&amp;G41&amp;" / "&amp;H41</x:f>
        <x:v>节点1 / 节点5 / 节点8 / 节点5 / 节点1</x:v>
      </x:c>
      <x:c r="D41" s="57" t="str">
        <x:v>节点1</x:v>
      </x:c>
      <x:c r="E41" s="57" t="str">
        <x:v>节点5</x:v>
      </x:c>
      <x:c r="F41" s="57" t="str">
        <x:v>节点8</x:v>
      </x:c>
      <x:c r="G41" s="57" t="str">
        <x:v>节点5</x:v>
      </x:c>
      <x:c r="H41" s="57" t="str">
        <x:v>节点1</x:v>
      </x:c>
      <x:c r="I41" s="58" t="str">
        <x:f>IF(COUNTIF(D41:H41,"月检库节点5")&gt;0,"“月5”按月检库节点5统计","")</x:f>
      </x:c>
      <x:c r="J41" s="59" t="n">
        <x:f>COUNTA(D41:H41)</x:f>
        <x:v>5</x:v>
      </x:c>
    </x:row>
    <x:row r="42" ht="22" customHeight="1">
      <x:c r="A42" s="57" t="str">
        <x:v>图片3</x:v>
      </x:c>
      <x:c r="B42" s="57" t="n">
        <x:v>6</x:v>
      </x:c>
      <x:c r="C42" s="58" t="str">
        <x:f>D42&amp;" / "&amp;E42&amp;" / "&amp;F42&amp;" / "&amp;G42&amp;" / "&amp;H42</x:f>
        <x:v>节点1 / 节点5 / 节点8 / 节点5 / 节点1</x:v>
      </x:c>
      <x:c r="D42" s="57" t="str">
        <x:v>节点1</x:v>
      </x:c>
      <x:c r="E42" s="57" t="str">
        <x:v>节点5</x:v>
      </x:c>
      <x:c r="F42" s="57" t="str">
        <x:v>节点8</x:v>
      </x:c>
      <x:c r="G42" s="57" t="str">
        <x:v>节点5</x:v>
      </x:c>
      <x:c r="H42" s="57" t="str">
        <x:v>节点1</x:v>
      </x:c>
      <x:c r="I42" s="58" t="str">
        <x:f>IF(COUNTIF(D42:H42,"月检库节点5")&gt;0,"“月5”按月检库节点5统计","")</x:f>
      </x:c>
      <x:c r="J42" s="59" t="n">
        <x:f>COUNTA(D42:H42)</x:f>
        <x:v>5</x:v>
      </x:c>
    </x:row>
    <x:row r="43" ht="22" customHeight="1">
      <x:c r="A43" s="57" t="str">
        <x:v>图片3</x:v>
      </x:c>
      <x:c r="B43" s="57" t="n">
        <x:v>7</x:v>
      </x:c>
      <x:c r="C43" s="58" t="str">
        <x:f>D43&amp;" / "&amp;E43&amp;" / "&amp;F43&amp;" / "&amp;G43&amp;" / "&amp;H43</x:f>
        <x:v>节点1 / 节点5 / 节点8 / 节点5 / 节点1</x:v>
      </x:c>
      <x:c r="D43" s="57" t="str">
        <x:v>节点1</x:v>
      </x:c>
      <x:c r="E43" s="57" t="str">
        <x:v>节点5</x:v>
      </x:c>
      <x:c r="F43" s="57" t="str">
        <x:v>节点8</x:v>
      </x:c>
      <x:c r="G43" s="57" t="str">
        <x:v>节点5</x:v>
      </x:c>
      <x:c r="H43" s="57" t="str">
        <x:v>节点1</x:v>
      </x:c>
      <x:c r="I43" s="58" t="str">
        <x:f>IF(COUNTIF(D43:H43,"月检库节点5")&gt;0,"“月5”按月检库节点5统计","")</x:f>
      </x:c>
      <x:c r="J43" s="59" t="n">
        <x:f>COUNTA(D43:H43)</x:f>
        <x:v>5</x:v>
      </x:c>
    </x:row>
    <x:row r="44" ht="22" customHeight="1">
      <x:c r="A44" s="57" t="str">
        <x:v>图片3</x:v>
      </x:c>
      <x:c r="B44" s="57" t="n">
        <x:v>8</x:v>
      </x:c>
      <x:c r="C44" s="58" t="str">
        <x:f>D44&amp;" / "&amp;E44&amp;" / "&amp;F44&amp;" / "&amp;G44&amp;" / "&amp;H44</x:f>
        <x:v>节点1 / 节点5 / 节点8 / 节点5 / 节点1</x:v>
      </x:c>
      <x:c r="D44" s="57" t="str">
        <x:v>节点1</x:v>
      </x:c>
      <x:c r="E44" s="57" t="str">
        <x:v>节点5</x:v>
      </x:c>
      <x:c r="F44" s="57" t="str">
        <x:v>节点8</x:v>
      </x:c>
      <x:c r="G44" s="57" t="str">
        <x:v>节点5</x:v>
      </x:c>
      <x:c r="H44" s="57" t="str">
        <x:v>节点1</x:v>
      </x:c>
      <x:c r="I44" s="58" t="str">
        <x:f>IF(COUNTIF(D44:H44,"月检库节点5")&gt;0,"“月5”按月检库节点5统计","")</x:f>
      </x:c>
      <x:c r="J44" s="59" t="n">
        <x:f>COUNTA(D44:H44)</x:f>
        <x:v>5</x:v>
      </x:c>
    </x:row>
    <x:row r="45" ht="22" customHeight="1">
      <x:c r="A45" s="63" t="str">
        <x:v>图片3</x:v>
      </x:c>
      <x:c r="B45" s="63" t="n">
        <x:v>9</x:v>
      </x:c>
      <x:c r="C45" s="64" t="str">
        <x:f>D45&amp;" / "&amp;E45&amp;" / "&amp;F45&amp;" / "&amp;G45&amp;" / "&amp;H45</x:f>
        <x:v>节点1 / 月检库节点5 / 节点8 / 月检库节点5 / 节点1</x:v>
      </x:c>
      <x:c r="D45" s="63" t="str">
        <x:v>节点1</x:v>
      </x:c>
      <x:c r="E45" s="56" t="str">
        <x:v>月检库节点5</x:v>
      </x:c>
      <x:c r="F45" s="56" t="str">
        <x:v>节点8</x:v>
      </x:c>
      <x:c r="G45" s="56" t="str">
        <x:v>月检库节点5</x:v>
      </x:c>
      <x:c r="H45" s="63" t="str">
        <x:v>节点1</x:v>
      </x:c>
      <x:c r="I45" s="64" t="str">
        <x:f>IF(COUNTIF(D45:H45,"月检库节点5")&gt;0,"“月5”按月检库节点5统计","")</x:f>
        <x:v>“月5”按月检库节点5统计</x:v>
      </x:c>
      <x:c r="J45" s="65" t="n">
        <x:f>COUNTA(D45:H45)</x:f>
        <x:v>5</x:v>
      </x:c>
    </x:row>
    <x:row r="46" ht="22" customHeight="1">
      <x:c r="A46" s="63" t="str">
        <x:v>图片3</x:v>
      </x:c>
      <x:c r="B46" s="63" t="n">
        <x:v>10</x:v>
      </x:c>
      <x:c r="C46" s="64" t="str">
        <x:f>D46&amp;" / "&amp;E46&amp;" / "&amp;F46&amp;" / "&amp;G46&amp;" / "&amp;H46</x:f>
        <x:v>节点1 / 月检库节点5 / 节点8 / 月检库节点5 / 节点1</x:v>
      </x:c>
      <x:c r="D46" s="63" t="str">
        <x:v>节点1</x:v>
      </x:c>
      <x:c r="E46" s="56" t="str">
        <x:v>月检库节点5</x:v>
      </x:c>
      <x:c r="F46" s="56" t="str">
        <x:v>节点8</x:v>
      </x:c>
      <x:c r="G46" s="56" t="str">
        <x:v>月检库节点5</x:v>
      </x:c>
      <x:c r="H46" s="63" t="str">
        <x:v>节点1</x:v>
      </x:c>
      <x:c r="I46" s="64" t="str">
        <x:f>IF(COUNTIF(D46:H46,"月检库节点5")&gt;0,"“月5”按月检库节点5统计","")</x:f>
        <x:v>“月5”按月检库节点5统计</x:v>
      </x:c>
      <x:c r="J46" s="65" t="n">
        <x:f>COUNTA(D46:H46)</x:f>
        <x:v>5</x:v>
      </x:c>
    </x:row>
    <x:row r="47" ht="22" customHeight="1">
      <x:c r="A47" s="63" t="str">
        <x:v>图片3</x:v>
      </x:c>
      <x:c r="B47" s="63" t="n">
        <x:v>11</x:v>
      </x:c>
      <x:c r="C47" s="64" t="str">
        <x:f>D47&amp;" / "&amp;E47&amp;" / "&amp;F47&amp;" / "&amp;G47&amp;" / "&amp;H47</x:f>
        <x:v>节点1 / 月检库节点5 / 节点8 / 月检库节点5 / 节点1</x:v>
      </x:c>
      <x:c r="D47" s="63" t="str">
        <x:v>节点1</x:v>
      </x:c>
      <x:c r="E47" s="56" t="str">
        <x:v>月检库节点5</x:v>
      </x:c>
      <x:c r="F47" s="56" t="str">
        <x:v>节点8</x:v>
      </x:c>
      <x:c r="G47" s="56" t="str">
        <x:v>月检库节点5</x:v>
      </x:c>
      <x:c r="H47" s="63" t="str">
        <x:v>节点1</x:v>
      </x:c>
      <x:c r="I47" s="64" t="str">
        <x:f>IF(COUNTIF(D47:H47,"月检库节点5")&gt;0,"“月5”按月检库节点5统计","")</x:f>
        <x:v>“月5”按月检库节点5统计</x:v>
      </x:c>
      <x:c r="J47" s="65" t="n">
        <x:f>COUNTA(D47:H47)</x:f>
        <x:v>5</x:v>
      </x:c>
    </x:row>
    <x:row r="48" ht="22" customHeight="1">
      <x:c r="A48" s="63" t="str">
        <x:v>图片3</x:v>
      </x:c>
      <x:c r="B48" s="63" t="n">
        <x:v>12</x:v>
      </x:c>
      <x:c r="C48" s="64" t="str">
        <x:f>D48&amp;" / "&amp;E48&amp;" / "&amp;F48&amp;" / "&amp;G48&amp;" / "&amp;H48</x:f>
        <x:v>节点1 / 月检库节点5 / 节点8 / 月检库节点5 / 节点1</x:v>
      </x:c>
      <x:c r="D48" s="63" t="str">
        <x:v>节点1</x:v>
      </x:c>
      <x:c r="E48" s="56" t="str">
        <x:v>月检库节点5</x:v>
      </x:c>
      <x:c r="F48" s="56" t="str">
        <x:v>节点8</x:v>
      </x:c>
      <x:c r="G48" s="56" t="str">
        <x:v>月检库节点5</x:v>
      </x:c>
      <x:c r="H48" s="63" t="str">
        <x:v>节点1</x:v>
      </x:c>
      <x:c r="I48" s="64" t="str">
        <x:f>IF(COUNTIF(D48:H48,"月检库节点5")&gt;0,"“月5”按月检库节点5统计","")</x:f>
        <x:v>“月5”按月检库节点5统计</x:v>
      </x:c>
      <x:c r="J48" s="65" t="n">
        <x:f>COUNTA(D48:H48)</x:f>
        <x:v>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1f79684bb9f43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25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27" hidden="0" customWidth="1"/>
    <x:col min="10" max="10" width="14" hidden="0" customWidth="1"/>
    <x:col min="11" max="11" width="22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 ht="30" customHeight="1">
      <x:c r="A1" s="69" t="str">
        <x:v>Sheet2：定位点、股道及缺陷/记录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</x:row>
    <x:row r="2" ht="42" customHeight="1">
      <x:c r="A2" s="73" t="str">
        <x:v>口径：K000形式为定位点；定位点后面的 1 / 5 / 8 / 月5 录入为股道位置；右侧大括号编号单独记录为“右侧括号编号”。“月5”按原表月检库节点5统计。图片1中部分K号较模糊，已标“待复核”，不影响股道和缺陷记录汇总。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4">
      <x:c r="A4" s="83" t="str">
        <x:v>图片记录行数</x:v>
      </x:c>
      <x:c r="B4" s="84"/>
      <x:c r="C4" s="84" t="str">
        <x:v>定位点数量</x:v>
      </x:c>
      <x:c r="D4" s="84"/>
      <x:c r="E4" s="84" t="str">
        <x:v>股道位置总数</x:v>
      </x:c>
      <x:c r="F4" s="84"/>
      <x:c r="G4" s="84" t="str">
        <x:v>月检库股道位置</x:v>
      </x:c>
      <x:c r="H4" s="84"/>
      <x:c r="I4" s="84" t="str">
        <x:v>含缺陷/记录行</x:v>
      </x:c>
      <x:c r="J4" s="84"/>
      <x:c r="K4" s="84" t="str">
        <x:v>待复核定位点</x:v>
      </x:c>
      <x:c r="L4" s="84"/>
      <x:c r="M4" s="84"/>
      <x:c r="N4" s="85"/>
    </x:row>
    <x:row r="5" ht="28" customHeight="1">
      <x:c r="A5" s="86" t="n">
        <x:f>COUNTA($A$9:$A$52)</x:f>
        <x:v>44</x:v>
      </x:c>
      <x:c r="B5" s="87"/>
      <x:c r="C5" s="87" t="n">
        <x:f>COUNTA($C$9:$C$52)</x:f>
        <x:v>44</x:v>
      </x:c>
      <x:c r="D5" s="87"/>
      <x:c r="E5" s="87" t="n">
        <x:f>SUM($M$9:$M$52)</x:f>
        <x:v>220</x:v>
      </x:c>
      <x:c r="F5" s="87"/>
      <x:c r="G5" s="87" t="n">
        <x:f>SUM($L$9:$L$52)</x:f>
        <x:v>8</x:v>
      </x:c>
      <x:c r="H5" s="87"/>
      <x:c r="I5" s="87" t="n">
        <x:f>I62</x:f>
        <x:v>16</x:v>
      </x:c>
      <x:c r="J5" s="87"/>
      <x:c r="K5" s="87" t="n">
        <x:f>COUNTIF($N$9:$N$52,"待复核")</x:f>
        <x:v>13</x:v>
      </x:c>
      <x:c r="L5" s="87"/>
      <x:c r="M5" s="87"/>
      <x:c r="N5" s="88"/>
    </x:row>
    <x:row r="7">
      <x:c r="A7" s="89" t="str">
        <x:v>一、定位点与股道明细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</x:row>
    <x:row r="8" ht="38" customHeight="1">
      <x:c r="A8" s="95" t="str">
        <x:v>图片</x:v>
      </x:c>
      <x:c r="B8" s="95" t="str">
        <x:v>图片行</x:v>
      </x:c>
      <x:c r="C8" s="95" t="str">
        <x:v>定位点（K000形式）</x:v>
      </x:c>
      <x:c r="D8" s="95" t="str">
        <x:v>股道1</x:v>
      </x:c>
      <x:c r="E8" s="95" t="str">
        <x:v>股道2</x:v>
      </x:c>
      <x:c r="F8" s="95" t="str">
        <x:v>股道3</x:v>
      </x:c>
      <x:c r="G8" s="95" t="str">
        <x:v>股道4</x:v>
      </x:c>
      <x:c r="H8" s="95" t="str">
        <x:v>股道5</x:v>
      </x:c>
      <x:c r="I8" s="95" t="str">
        <x:v>股道序列（公式）</x:v>
      </x:c>
      <x:c r="J8" s="95" t="str">
        <x:v>右侧括号编号</x:v>
      </x:c>
      <x:c r="K8" s="95" t="str">
        <x:v>缺陷/记录</x:v>
      </x:c>
      <x:c r="L8" s="95" t="str">
        <x:v>月检库股道数（公式）</x:v>
      </x:c>
      <x:c r="M8" s="95" t="str">
        <x:v>本行股道数（公式）</x:v>
      </x:c>
      <x:c r="N8" s="95" t="str">
        <x:v>定位点复核</x:v>
      </x:c>
    </x:row>
    <x:row r="9" ht="24" customHeight="1">
      <x:c r="A9" s="96" t="str">
        <x:v>图片1</x:v>
      </x:c>
      <x:c r="B9" s="96" t="n">
        <x:v>1</x:v>
      </x:c>
      <x:c r="C9" s="97" t="str">
        <x:v>K017-K028</x:v>
      </x:c>
      <x:c r="D9" s="96" t="str">
        <x:v>1</x:v>
      </x:c>
      <x:c r="E9" s="96" t="str">
        <x:v>5</x:v>
      </x:c>
      <x:c r="F9" s="96" t="str">
        <x:v>8</x:v>
      </x:c>
      <x:c r="G9" s="96" t="str">
        <x:v>5</x:v>
      </x:c>
      <x:c r="H9" s="96" t="str">
        <x:v>1</x:v>
      </x:c>
      <x:c r="I9" s="97" t="str">
        <x:f>D9&amp;"、"&amp;E9&amp;"、"&amp;F9&amp;"、"&amp;G9&amp;"、"&amp;H9</x:f>
        <x:v>1、5、8、5、1</x:v>
      </x:c>
      <x:c r="J9" s="96" t="str">
        <x:v>19、20</x:v>
      </x:c>
      <x:c r="K9" s="97" t="str">
        <x:v>软横</x:v>
      </x:c>
      <x:c r="L9" s="98" t="n">
        <x:f>COUNTIF(D9:H9,"月5")</x:f>
        <x:v>0</x:v>
      </x:c>
      <x:c r="M9" s="98" t="n">
        <x:f>COUNTA(D9:H9)</x:f>
        <x:v>5</x:v>
      </x:c>
      <x:c r="N9" s="96" t="str">
        <x:v>已识别</x:v>
      </x:c>
    </x:row>
    <x:row r="10" ht="24" customHeight="1">
      <x:c r="A10" s="96" t="str">
        <x:v>图片1</x:v>
      </x:c>
      <x:c r="B10" s="96" t="n">
        <x:v>2</x:v>
      </x:c>
      <x:c r="C10" s="97" t="str">
        <x:v>K053-K054</x:v>
      </x:c>
      <x:c r="D10" s="96" t="str">
        <x:v>1</x:v>
      </x:c>
      <x:c r="E10" s="96" t="str">
        <x:v>5</x:v>
      </x:c>
      <x:c r="F10" s="96" t="str">
        <x:v>8</x:v>
      </x:c>
      <x:c r="G10" s="96" t="str">
        <x:v>5</x:v>
      </x:c>
      <x:c r="H10" s="96" t="str">
        <x:v>1</x:v>
      </x:c>
      <x:c r="I10" s="97" t="str">
        <x:f>D10&amp;"、"&amp;E10&amp;"、"&amp;F10&amp;"、"&amp;G10&amp;"、"&amp;H10</x:f>
        <x:v>1、5、8、5、1</x:v>
      </x:c>
      <x:c r="J10" s="96" t="str">
        <x:v>19、20</x:v>
      </x:c>
      <x:c r="K10" s="97" t="str"/>
      <x:c r="L10" s="98" t="n">
        <x:f>COUNTIF(D10:H10,"月5")</x:f>
        <x:v>0</x:v>
      </x:c>
      <x:c r="M10" s="98" t="n">
        <x:f>COUNTA(D10:H10)</x:f>
        <x:v>5</x:v>
      </x:c>
      <x:c r="N10" s="96" t="str">
        <x:v>已识别</x:v>
      </x:c>
    </x:row>
    <x:row r="11" ht="24" customHeight="1">
      <x:c r="A11" s="96" t="str">
        <x:v>图片1</x:v>
      </x:c>
      <x:c r="B11" s="96" t="n">
        <x:v>3</x:v>
      </x:c>
      <x:c r="C11" s="97" t="str">
        <x:v>K079-K080</x:v>
      </x:c>
      <x:c r="D11" s="96" t="str">
        <x:v>1</x:v>
      </x:c>
      <x:c r="E11" s="96" t="str">
        <x:v>5</x:v>
      </x:c>
      <x:c r="F11" s="96" t="str">
        <x:v>8</x:v>
      </x:c>
      <x:c r="G11" s="96" t="str">
        <x:v>5</x:v>
      </x:c>
      <x:c r="H11" s="96" t="str">
        <x:v>1</x:v>
      </x:c>
      <x:c r="I11" s="97" t="str">
        <x:f>D11&amp;"、"&amp;E11&amp;"、"&amp;F11&amp;"、"&amp;G11&amp;"、"&amp;H11</x:f>
        <x:v>1、5、8、5、1</x:v>
      </x:c>
      <x:c r="J11" s="96" t="str">
        <x:v>19、20</x:v>
      </x:c>
      <x:c r="K11" s="97" t="str">
        <x:v>软横</x:v>
      </x:c>
      <x:c r="L11" s="98" t="n">
        <x:f>COUNTIF(D11:H11,"月5")</x:f>
        <x:v>0</x:v>
      </x:c>
      <x:c r="M11" s="98" t="n">
        <x:f>COUNTA(D11:H11)</x:f>
        <x:v>5</x:v>
      </x:c>
      <x:c r="N11" s="96" t="str">
        <x:v>已识别</x:v>
      </x:c>
    </x:row>
    <x:row r="12" ht="24" customHeight="1">
      <x:c r="A12" s="96" t="str">
        <x:v>图片1</x:v>
      </x:c>
      <x:c r="B12" s="96" t="n">
        <x:v>4</x:v>
      </x:c>
      <x:c r="C12" s="106" t="str">
        <x:v>K号待复核（图片1-04）</x:v>
      </x:c>
      <x:c r="D12" s="96" t="str">
        <x:v>1</x:v>
      </x:c>
      <x:c r="E12" s="96" t="str">
        <x:v>5</x:v>
      </x:c>
      <x:c r="F12" s="96" t="str">
        <x:v>8</x:v>
      </x:c>
      <x:c r="G12" s="96" t="str">
        <x:v>5</x:v>
      </x:c>
      <x:c r="H12" s="96" t="str">
        <x:v>1</x:v>
      </x:c>
      <x:c r="I12" s="97" t="str">
        <x:f>D12&amp;"、"&amp;E12&amp;"、"&amp;F12&amp;"、"&amp;G12&amp;"、"&amp;H12</x:f>
        <x:v>1、5、8、5、1</x:v>
      </x:c>
      <x:c r="J12" s="96" t="str">
        <x:v>19、20</x:v>
      </x:c>
      <x:c r="K12" s="97" t="str">
        <x:v>软横</x:v>
      </x:c>
      <x:c r="L12" s="98" t="n">
        <x:f>COUNTIF(D12:H12,"月5")</x:f>
        <x:v>0</x:v>
      </x:c>
      <x:c r="M12" s="98" t="n">
        <x:f>COUNTA(D12:H12)</x:f>
        <x:v>5</x:v>
      </x:c>
      <x:c r="N12" s="96" t="str">
        <x:v>待复核</x:v>
      </x:c>
    </x:row>
    <x:row r="13" ht="24" customHeight="1">
      <x:c r="A13" s="96" t="str">
        <x:v>图片1</x:v>
      </x:c>
      <x:c r="B13" s="96" t="n">
        <x:v>5</x:v>
      </x:c>
      <x:c r="C13" s="106" t="str">
        <x:v>K号待复核（图片1-05）</x:v>
      </x:c>
      <x:c r="D13" s="96" t="str">
        <x:v>1</x:v>
      </x:c>
      <x:c r="E13" s="96" t="str">
        <x:v>5</x:v>
      </x:c>
      <x:c r="F13" s="96" t="str">
        <x:v>8</x:v>
      </x:c>
      <x:c r="G13" s="96" t="str">
        <x:v>5</x:v>
      </x:c>
      <x:c r="H13" s="96" t="str">
        <x:v>1</x:v>
      </x:c>
      <x:c r="I13" s="97" t="str">
        <x:f>D13&amp;"、"&amp;E13&amp;"、"&amp;F13&amp;"、"&amp;G13&amp;"、"&amp;H13</x:f>
        <x:v>1、5、8、5、1</x:v>
      </x:c>
      <x:c r="J13" s="96" t="str">
        <x:v>17、18</x:v>
      </x:c>
      <x:c r="K13" s="97" t="str"/>
      <x:c r="L13" s="98" t="n">
        <x:f>COUNTIF(D13:H13,"月5")</x:f>
        <x:v>0</x:v>
      </x:c>
      <x:c r="M13" s="98" t="n">
        <x:f>COUNTA(D13:H13)</x:f>
        <x:v>5</x:v>
      </x:c>
      <x:c r="N13" s="96" t="str">
        <x:v>待复核</x:v>
      </x:c>
    </x:row>
    <x:row r="14" ht="24" customHeight="1">
      <x:c r="A14" s="96" t="str">
        <x:v>图片1</x:v>
      </x:c>
      <x:c r="B14" s="96" t="n">
        <x:v>6</x:v>
      </x:c>
      <x:c r="C14" s="106" t="str">
        <x:v>K号待复核（图片1-06）</x:v>
      </x:c>
      <x:c r="D14" s="96" t="str">
        <x:v>1</x:v>
      </x:c>
      <x:c r="E14" s="96" t="str">
        <x:v>5</x:v>
      </x:c>
      <x:c r="F14" s="96" t="str">
        <x:v>8</x:v>
      </x:c>
      <x:c r="G14" s="96" t="str">
        <x:v>5</x:v>
      </x:c>
      <x:c r="H14" s="96" t="str">
        <x:v>1</x:v>
      </x:c>
      <x:c r="I14" s="97" t="str">
        <x:f>D14&amp;"、"&amp;E14&amp;"、"&amp;F14&amp;"、"&amp;G14&amp;"、"&amp;H14</x:f>
        <x:v>1、5、8、5、1</x:v>
      </x:c>
      <x:c r="J14" s="96" t="str">
        <x:v>17、18</x:v>
      </x:c>
      <x:c r="K14" s="106" t="str"/>
      <x:c r="L14" s="98" t="n">
        <x:f>COUNTIF(D14:H14,"月5")</x:f>
        <x:v>0</x:v>
      </x:c>
      <x:c r="M14" s="98" t="n">
        <x:f>COUNTA(D14:H14)</x:f>
        <x:v>5</x:v>
      </x:c>
      <x:c r="N14" s="96" t="str">
        <x:v>待复核</x:v>
      </x:c>
    </x:row>
    <x:row r="15" ht="24" customHeight="1">
      <x:c r="A15" s="96" t="str">
        <x:v>图片1</x:v>
      </x:c>
      <x:c r="B15" s="96" t="n">
        <x:v>7</x:v>
      </x:c>
      <x:c r="C15" s="106" t="str">
        <x:v>K号待复核（图片1-07）</x:v>
      </x:c>
      <x:c r="D15" s="96" t="str">
        <x:v>1</x:v>
      </x:c>
      <x:c r="E15" s="96" t="str">
        <x:v>5</x:v>
      </x:c>
      <x:c r="F15" s="96" t="str">
        <x:v>8</x:v>
      </x:c>
      <x:c r="G15" s="96" t="str">
        <x:v>5</x:v>
      </x:c>
      <x:c r="H15" s="96" t="str">
        <x:v>1</x:v>
      </x:c>
      <x:c r="I15" s="97" t="str">
        <x:f>D15&amp;"、"&amp;E15&amp;"、"&amp;F15&amp;"、"&amp;G15&amp;"、"&amp;H15</x:f>
        <x:v>1、5、8、5、1</x:v>
      </x:c>
      <x:c r="J15" s="96" t="str">
        <x:v>17、18</x:v>
      </x:c>
      <x:c r="K15" s="97" t="str"/>
      <x:c r="L15" s="98" t="n">
        <x:f>COUNTIF(D15:H15,"月5")</x:f>
        <x:v>0</x:v>
      </x:c>
      <x:c r="M15" s="98" t="n">
        <x:f>COUNTA(D15:H15)</x:f>
        <x:v>5</x:v>
      </x:c>
      <x:c r="N15" s="96" t="str">
        <x:v>待复核</x:v>
      </x:c>
    </x:row>
    <x:row r="16" ht="24" customHeight="1">
      <x:c r="A16" s="96" t="str">
        <x:v>图片1</x:v>
      </x:c>
      <x:c r="B16" s="96" t="n">
        <x:v>8</x:v>
      </x:c>
      <x:c r="C16" s="106" t="str">
        <x:v>K号待复核（图片1-08）</x:v>
      </x:c>
      <x:c r="D16" s="96" t="str">
        <x:v>1</x:v>
      </x:c>
      <x:c r="E16" s="96" t="str">
        <x:v>5</x:v>
      </x:c>
      <x:c r="F16" s="96" t="str">
        <x:v>8</x:v>
      </x:c>
      <x:c r="G16" s="96" t="str">
        <x:v>5</x:v>
      </x:c>
      <x:c r="H16" s="96" t="str">
        <x:v>1</x:v>
      </x:c>
      <x:c r="I16" s="97" t="str">
        <x:f>D16&amp;"、"&amp;E16&amp;"、"&amp;F16&amp;"、"&amp;G16&amp;"、"&amp;H16</x:f>
        <x:v>1、5、8、5、1</x:v>
      </x:c>
      <x:c r="J16" s="96" t="str">
        <x:v>17、18</x:v>
      </x:c>
      <x:c r="K16" s="97" t="str"/>
      <x:c r="L16" s="98" t="n">
        <x:f>COUNTIF(D16:H16,"月5")</x:f>
        <x:v>0</x:v>
      </x:c>
      <x:c r="M16" s="98" t="n">
        <x:f>COUNTA(D16:H16)</x:f>
        <x:v>5</x:v>
      </x:c>
      <x:c r="N16" s="96" t="str">
        <x:v>待复核</x:v>
      </x:c>
    </x:row>
    <x:row r="17" ht="24" customHeight="1">
      <x:c r="A17" s="96" t="str">
        <x:v>图片1</x:v>
      </x:c>
      <x:c r="B17" s="96" t="n">
        <x:v>9</x:v>
      </x:c>
      <x:c r="C17" s="106" t="str">
        <x:v>K号待复核（图片1-09）</x:v>
      </x:c>
      <x:c r="D17" s="96" t="str">
        <x:v>1</x:v>
      </x:c>
      <x:c r="E17" s="96" t="str">
        <x:v>5</x:v>
      </x:c>
      <x:c r="F17" s="96" t="str">
        <x:v>8</x:v>
      </x:c>
      <x:c r="G17" s="96" t="str">
        <x:v>5</x:v>
      </x:c>
      <x:c r="H17" s="96" t="str">
        <x:v>1</x:v>
      </x:c>
      <x:c r="I17" s="97" t="str">
        <x:f>D17&amp;"、"&amp;E17&amp;"、"&amp;F17&amp;"、"&amp;G17&amp;"、"&amp;H17</x:f>
        <x:v>1、5、8、5、1</x:v>
      </x:c>
      <x:c r="J17" s="96" t="str">
        <x:v>21、22</x:v>
      </x:c>
      <x:c r="K17" s="97" t="str"/>
      <x:c r="L17" s="98" t="n">
        <x:f>COUNTIF(D17:H17,"月5")</x:f>
        <x:v>0</x:v>
      </x:c>
      <x:c r="M17" s="98" t="n">
        <x:f>COUNTA(D17:H17)</x:f>
        <x:v>5</x:v>
      </x:c>
      <x:c r="N17" s="96" t="str">
        <x:v>待复核</x:v>
      </x:c>
    </x:row>
    <x:row r="18" ht="24" customHeight="1">
      <x:c r="A18" s="96" t="str">
        <x:v>图片1</x:v>
      </x:c>
      <x:c r="B18" s="96" t="n">
        <x:v>10</x:v>
      </x:c>
      <x:c r="C18" s="106" t="str">
        <x:v>K号待复核（图片1-10）</x:v>
      </x:c>
      <x:c r="D18" s="96" t="str">
        <x:v>1</x:v>
      </x:c>
      <x:c r="E18" s="96" t="str">
        <x:v>5</x:v>
      </x:c>
      <x:c r="F18" s="96" t="str">
        <x:v>8</x:v>
      </x:c>
      <x:c r="G18" s="96" t="str">
        <x:v>5</x:v>
      </x:c>
      <x:c r="H18" s="96" t="str">
        <x:v>1</x:v>
      </x:c>
      <x:c r="I18" s="97" t="str">
        <x:f>D18&amp;"、"&amp;E18&amp;"、"&amp;F18&amp;"、"&amp;G18&amp;"、"&amp;H18</x:f>
        <x:v>1、5、8、5、1</x:v>
      </x:c>
      <x:c r="J18" s="96" t="str">
        <x:v>21、22</x:v>
      </x:c>
      <x:c r="K18" s="97" t="str"/>
      <x:c r="L18" s="98" t="n">
        <x:f>COUNTIF(D18:H18,"月5")</x:f>
        <x:v>0</x:v>
      </x:c>
      <x:c r="M18" s="98" t="n">
        <x:f>COUNTA(D18:H18)</x:f>
        <x:v>5</x:v>
      </x:c>
      <x:c r="N18" s="96" t="str">
        <x:v>待复核</x:v>
      </x:c>
    </x:row>
    <x:row r="19" ht="24" customHeight="1">
      <x:c r="A19" s="96" t="str">
        <x:v>图片1</x:v>
      </x:c>
      <x:c r="B19" s="96" t="n">
        <x:v>11</x:v>
      </x:c>
      <x:c r="C19" s="106" t="str">
        <x:v>K号待复核（图片1-11）</x:v>
      </x:c>
      <x:c r="D19" s="96" t="str">
        <x:v>1</x:v>
      </x:c>
      <x:c r="E19" s="96" t="str">
        <x:v>5</x:v>
      </x:c>
      <x:c r="F19" s="96" t="str">
        <x:v>8</x:v>
      </x:c>
      <x:c r="G19" s="96" t="str">
        <x:v>5</x:v>
      </x:c>
      <x:c r="H19" s="96" t="str">
        <x:v>1</x:v>
      </x:c>
      <x:c r="I19" s="97" t="str">
        <x:f>D19&amp;"、"&amp;E19&amp;"、"&amp;F19&amp;"、"&amp;G19&amp;"、"&amp;H19</x:f>
        <x:v>1、5、8、5、1</x:v>
      </x:c>
      <x:c r="J19" s="96" t="str">
        <x:v>21、22</x:v>
      </x:c>
      <x:c r="K19" s="97" t="str"/>
      <x:c r="L19" s="98" t="n">
        <x:f>COUNTIF(D19:H19,"月5")</x:f>
        <x:v>0</x:v>
      </x:c>
      <x:c r="M19" s="98" t="n">
        <x:f>COUNTA(D19:H19)</x:f>
        <x:v>5</x:v>
      </x:c>
      <x:c r="N19" s="96" t="str">
        <x:v>待复核</x:v>
      </x:c>
    </x:row>
    <x:row r="20" ht="24" customHeight="1">
      <x:c r="A20" s="96" t="str">
        <x:v>图片1</x:v>
      </x:c>
      <x:c r="B20" s="96" t="n">
        <x:v>12</x:v>
      </x:c>
      <x:c r="C20" s="106" t="str">
        <x:v>K004-K030</x:v>
      </x:c>
      <x:c r="D20" s="96" t="str">
        <x:v>1</x:v>
      </x:c>
      <x:c r="E20" s="96" t="str">
        <x:v>5</x:v>
      </x:c>
      <x:c r="F20" s="96" t="str">
        <x:v>8</x:v>
      </x:c>
      <x:c r="G20" s="96" t="str">
        <x:v>5</x:v>
      </x:c>
      <x:c r="H20" s="96" t="str">
        <x:v>1</x:v>
      </x:c>
      <x:c r="I20" s="97" t="str">
        <x:f>D20&amp;"、"&amp;E20&amp;"、"&amp;F20&amp;"、"&amp;G20&amp;"、"&amp;H20</x:f>
        <x:v>1、5、8、5、1</x:v>
      </x:c>
      <x:c r="J20" s="96" t="str">
        <x:v>21、22</x:v>
      </x:c>
      <x:c r="K20" s="97" t="str"/>
      <x:c r="L20" s="98" t="n">
        <x:f>COUNTIF(D20:H20,"月5")</x:f>
        <x:v>0</x:v>
      </x:c>
      <x:c r="M20" s="98" t="n">
        <x:f>COUNTA(D20:H20)</x:f>
        <x:v>5</x:v>
      </x:c>
      <x:c r="N20" s="96" t="str">
        <x:v>已识别</x:v>
      </x:c>
    </x:row>
    <x:row r="21" ht="24" customHeight="1">
      <x:c r="A21" s="96" t="str">
        <x:v>图片1</x:v>
      </x:c>
      <x:c r="B21" s="96" t="n">
        <x:v>13</x:v>
      </x:c>
      <x:c r="C21" s="106" t="str">
        <x:v>K号待复核（图片1-13）</x:v>
      </x:c>
      <x:c r="D21" s="96" t="str">
        <x:v>1</x:v>
      </x:c>
      <x:c r="E21" s="96" t="str">
        <x:v>5</x:v>
      </x:c>
      <x:c r="F21" s="96" t="str">
        <x:v>8</x:v>
      </x:c>
      <x:c r="G21" s="96" t="str">
        <x:v>5</x:v>
      </x:c>
      <x:c r="H21" s="96" t="str">
        <x:v>1</x:v>
      </x:c>
      <x:c r="I21" s="97" t="str">
        <x:f>D21&amp;"、"&amp;E21&amp;"、"&amp;F21&amp;"、"&amp;G21&amp;"、"&amp;H21</x:f>
        <x:v>1、5、8、5、1</x:v>
      </x:c>
      <x:c r="J21" s="96" t="str">
        <x:v>23、24</x:v>
      </x:c>
      <x:c r="K21" s="97" t="str"/>
      <x:c r="L21" s="98" t="n">
        <x:f>COUNTIF(D21:H21,"月5")</x:f>
        <x:v>0</x:v>
      </x:c>
      <x:c r="M21" s="98" t="n">
        <x:f>COUNTA(D21:H21)</x:f>
        <x:v>5</x:v>
      </x:c>
      <x:c r="N21" s="96" t="str">
        <x:v>待复核</x:v>
      </x:c>
    </x:row>
    <x:row r="22" ht="24" customHeight="1">
      <x:c r="A22" s="96" t="str">
        <x:v>图片1</x:v>
      </x:c>
      <x:c r="B22" s="96" t="n">
        <x:v>14</x:v>
      </x:c>
      <x:c r="C22" s="106" t="str">
        <x:v>K号待复核（图片1-14）</x:v>
      </x:c>
      <x:c r="D22" s="96" t="str">
        <x:v>1</x:v>
      </x:c>
      <x:c r="E22" s="96" t="str">
        <x:v>5</x:v>
      </x:c>
      <x:c r="F22" s="96" t="str">
        <x:v>8</x:v>
      </x:c>
      <x:c r="G22" s="96" t="str">
        <x:v>5</x:v>
      </x:c>
      <x:c r="H22" s="96" t="str">
        <x:v>1</x:v>
      </x:c>
      <x:c r="I22" s="97" t="str">
        <x:f>D22&amp;"、"&amp;E22&amp;"、"&amp;F22&amp;"、"&amp;G22&amp;"、"&amp;H22</x:f>
        <x:v>1、5、8、5、1</x:v>
      </x:c>
      <x:c r="J22" s="96" t="str">
        <x:v>23、24</x:v>
      </x:c>
      <x:c r="K22" s="97" t="str"/>
      <x:c r="L22" s="98" t="n">
        <x:f>COUNTIF(D22:H22,"月5")</x:f>
        <x:v>0</x:v>
      </x:c>
      <x:c r="M22" s="98" t="n">
        <x:f>COUNTA(D22:H22)</x:f>
        <x:v>5</x:v>
      </x:c>
      <x:c r="N22" s="96" t="str">
        <x:v>待复核</x:v>
      </x:c>
    </x:row>
    <x:row r="23" ht="24" customHeight="1">
      <x:c r="A23" s="96" t="str">
        <x:v>图片1</x:v>
      </x:c>
      <x:c r="B23" s="96" t="n">
        <x:v>15</x:v>
      </x:c>
      <x:c r="C23" s="106" t="str">
        <x:v>K号待复核（图片1-15）</x:v>
      </x:c>
      <x:c r="D23" s="96" t="str">
        <x:v>1</x:v>
      </x:c>
      <x:c r="E23" s="96" t="str">
        <x:v>5</x:v>
      </x:c>
      <x:c r="F23" s="96" t="str">
        <x:v>8</x:v>
      </x:c>
      <x:c r="G23" s="96" t="str">
        <x:v>5</x:v>
      </x:c>
      <x:c r="H23" s="96" t="str">
        <x:v>1</x:v>
      </x:c>
      <x:c r="I23" s="97" t="str">
        <x:f>D23&amp;"、"&amp;E23&amp;"、"&amp;F23&amp;"、"&amp;G23&amp;"、"&amp;H23</x:f>
        <x:v>1、5、8、5、1</x:v>
      </x:c>
      <x:c r="J23" s="96" t="str">
        <x:v>23、24</x:v>
      </x:c>
      <x:c r="K23" s="97" t="str"/>
      <x:c r="L23" s="98" t="n">
        <x:f>COUNTIF(D23:H23,"月5")</x:f>
        <x:v>0</x:v>
      </x:c>
      <x:c r="M23" s="98" t="n">
        <x:f>COUNTA(D23:H23)</x:f>
        <x:v>5</x:v>
      </x:c>
      <x:c r="N23" s="96" t="str">
        <x:v>待复核</x:v>
      </x:c>
    </x:row>
    <x:row r="24" ht="24" customHeight="1">
      <x:c r="A24" s="96" t="str">
        <x:v>图片1</x:v>
      </x:c>
      <x:c r="B24" s="96" t="n">
        <x:v>16</x:v>
      </x:c>
      <x:c r="C24" s="106" t="str">
        <x:v>K号待复核（图片1-16）</x:v>
      </x:c>
      <x:c r="D24" s="96" t="str">
        <x:v>1</x:v>
      </x:c>
      <x:c r="E24" s="96" t="str">
        <x:v>5</x:v>
      </x:c>
      <x:c r="F24" s="96" t="str">
        <x:v>8</x:v>
      </x:c>
      <x:c r="G24" s="96" t="str">
        <x:v>5</x:v>
      </x:c>
      <x:c r="H24" s="96" t="str">
        <x:v>1</x:v>
      </x:c>
      <x:c r="I24" s="97" t="str">
        <x:f>D24&amp;"、"&amp;E24&amp;"、"&amp;F24&amp;"、"&amp;G24&amp;"、"&amp;H24</x:f>
        <x:v>1、5、8、5、1</x:v>
      </x:c>
      <x:c r="J24" s="96" t="str">
        <x:v>23、24</x:v>
      </x:c>
      <x:c r="K24" s="97" t="str"/>
      <x:c r="L24" s="98" t="n">
        <x:f>COUNTIF(D24:H24,"月5")</x:f>
        <x:v>0</x:v>
      </x:c>
      <x:c r="M24" s="98" t="n">
        <x:f>COUNTA(D24:H24)</x:f>
        <x:v>5</x:v>
      </x:c>
      <x:c r="N24" s="96" t="str">
        <x:v>待复核</x:v>
      </x:c>
    </x:row>
    <x:row r="25" ht="24" customHeight="1">
      <x:c r="A25" s="99" t="str">
        <x:v>图片2</x:v>
      </x:c>
      <x:c r="B25" s="99" t="n">
        <x:v>1</x:v>
      </x:c>
      <x:c r="C25" s="106" t="str">
        <x:v>K017-K018</x:v>
      </x:c>
      <x:c r="D25" s="99" t="str">
        <x:v>1</x:v>
      </x:c>
      <x:c r="E25" s="99" t="str">
        <x:v>5</x:v>
      </x:c>
      <x:c r="F25" s="99" t="str">
        <x:v>8</x:v>
      </x:c>
      <x:c r="G25" s="99" t="str">
        <x:v>5</x:v>
      </x:c>
      <x:c r="H25" s="99" t="str">
        <x:v>1</x:v>
      </x:c>
      <x:c r="I25" s="100" t="str">
        <x:f>D25&amp;"、"&amp;E25&amp;"、"&amp;F25&amp;"、"&amp;G25&amp;"、"&amp;H25</x:f>
        <x:v>1、5、8、5、1</x:v>
      </x:c>
      <x:c r="J25" s="99" t="str">
        <x:v>9、10</x:v>
      </x:c>
      <x:c r="K25" s="106" t="str">
        <x:v>涂改</x:v>
      </x:c>
      <x:c r="L25" s="101" t="n">
        <x:f>COUNTIF(D25:H25,"月5")</x:f>
        <x:v>0</x:v>
      </x:c>
      <x:c r="M25" s="101" t="n">
        <x:f>COUNTA(D25:H25)</x:f>
        <x:v>5</x:v>
      </x:c>
      <x:c r="N25" s="99" t="str">
        <x:v>已识别</x:v>
      </x:c>
    </x:row>
    <x:row r="26" ht="24" customHeight="1">
      <x:c r="A26" s="99" t="str">
        <x:v>图片2</x:v>
      </x:c>
      <x:c r="B26" s="99" t="n">
        <x:v>2</x:v>
      </x:c>
      <x:c r="C26" s="100" t="str">
        <x:v>K043-K044</x:v>
      </x:c>
      <x:c r="D26" s="99" t="str">
        <x:v>1</x:v>
      </x:c>
      <x:c r="E26" s="99" t="str">
        <x:v>5</x:v>
      </x:c>
      <x:c r="F26" s="99" t="str">
        <x:v>8</x:v>
      </x:c>
      <x:c r="G26" s="99" t="str">
        <x:v>5</x:v>
      </x:c>
      <x:c r="H26" s="99" t="str">
        <x:v>1</x:v>
      </x:c>
      <x:c r="I26" s="100" t="str">
        <x:f>D26&amp;"、"&amp;E26&amp;"、"&amp;F26&amp;"、"&amp;G26&amp;"、"&amp;H26</x:f>
        <x:v>1、5、8、5、1</x:v>
      </x:c>
      <x:c r="J26" s="99" t="str">
        <x:v>9、10</x:v>
      </x:c>
      <x:c r="K26" s="100" t="str">
        <x:v>软横</x:v>
      </x:c>
      <x:c r="L26" s="101" t="n">
        <x:f>COUNTIF(D26:H26,"月5")</x:f>
        <x:v>0</x:v>
      </x:c>
      <x:c r="M26" s="101" t="n">
        <x:f>COUNTA(D26:H26)</x:f>
        <x:v>5</x:v>
      </x:c>
      <x:c r="N26" s="99" t="str">
        <x:v>已识别</x:v>
      </x:c>
    </x:row>
    <x:row r="27" ht="24" customHeight="1">
      <x:c r="A27" s="99" t="str">
        <x:v>图片2</x:v>
      </x:c>
      <x:c r="B27" s="99" t="n">
        <x:v>3</x:v>
      </x:c>
      <x:c r="C27" s="106" t="str">
        <x:v>K069-K070</x:v>
      </x:c>
      <x:c r="D27" s="99" t="str">
        <x:v>1</x:v>
      </x:c>
      <x:c r="E27" s="99" t="str">
        <x:v>5</x:v>
      </x:c>
      <x:c r="F27" s="99" t="str">
        <x:v>8</x:v>
      </x:c>
      <x:c r="G27" s="99" t="str">
        <x:v>5</x:v>
      </x:c>
      <x:c r="H27" s="99" t="str">
        <x:v>1</x:v>
      </x:c>
      <x:c r="I27" s="100" t="str">
        <x:f>D27&amp;"、"&amp;E27&amp;"、"&amp;F27&amp;"、"&amp;G27&amp;"、"&amp;H27</x:f>
        <x:v>1、5、8、5、1</x:v>
      </x:c>
      <x:c r="J27" s="99" t="str">
        <x:v>9、10</x:v>
      </x:c>
      <x:c r="K27" s="106" t="str"/>
      <x:c r="L27" s="101" t="n">
        <x:f>COUNTIF(D27:H27,"月5")</x:f>
        <x:v>0</x:v>
      </x:c>
      <x:c r="M27" s="101" t="n">
        <x:f>COUNTA(D27:H27)</x:f>
        <x:v>5</x:v>
      </x:c>
      <x:c r="N27" s="99" t="str">
        <x:v>已识别</x:v>
      </x:c>
    </x:row>
    <x:row r="28" ht="24" customHeight="1">
      <x:c r="A28" s="99" t="str">
        <x:v>图片2</x:v>
      </x:c>
      <x:c r="B28" s="99" t="n">
        <x:v>4</x:v>
      </x:c>
      <x:c r="C28" s="100" t="str">
        <x:v>K075-K096</x:v>
      </x:c>
      <x:c r="D28" s="99" t="str">
        <x:v>1</x:v>
      </x:c>
      <x:c r="E28" s="99" t="str">
        <x:v>5</x:v>
      </x:c>
      <x:c r="F28" s="99" t="str">
        <x:v>8</x:v>
      </x:c>
      <x:c r="G28" s="99" t="str">
        <x:v>5</x:v>
      </x:c>
      <x:c r="H28" s="99" t="str">
        <x:v>1</x:v>
      </x:c>
      <x:c r="I28" s="100" t="str">
        <x:f>D28&amp;"、"&amp;E28&amp;"、"&amp;F28&amp;"、"&amp;G28&amp;"、"&amp;H28</x:f>
        <x:v>1、5、8、5、1</x:v>
      </x:c>
      <x:c r="J28" s="99" t="str">
        <x:v>9、10</x:v>
      </x:c>
      <x:c r="K28" s="100" t="str">
        <x:v>软横</x:v>
      </x:c>
      <x:c r="L28" s="101" t="n">
        <x:f>COUNTIF(D28:H28,"月5")</x:f>
        <x:v>0</x:v>
      </x:c>
      <x:c r="M28" s="101" t="n">
        <x:f>COUNTA(D28:H28)</x:f>
        <x:v>5</x:v>
      </x:c>
      <x:c r="N28" s="99" t="str">
        <x:v>已识别</x:v>
      </x:c>
    </x:row>
    <x:row r="29" ht="24" customHeight="1">
      <x:c r="A29" s="99" t="str">
        <x:v>图片2</x:v>
      </x:c>
      <x:c r="B29" s="99" t="n">
        <x:v>5</x:v>
      </x:c>
      <x:c r="C29" s="106" t="str">
        <x:v>K021-K022</x:v>
      </x:c>
      <x:c r="D29" s="99" t="str">
        <x:v>1</x:v>
      </x:c>
      <x:c r="E29" s="99" t="str">
        <x:v>5</x:v>
      </x:c>
      <x:c r="F29" s="99" t="str">
        <x:v>8</x:v>
      </x:c>
      <x:c r="G29" s="99" t="str">
        <x:v>5</x:v>
      </x:c>
      <x:c r="H29" s="99" t="str">
        <x:v>1</x:v>
      </x:c>
      <x:c r="I29" s="100" t="str">
        <x:f>D29&amp;"、"&amp;E29&amp;"、"&amp;F29&amp;"、"&amp;G29&amp;"、"&amp;H29</x:f>
        <x:v>1、5、8、5、1</x:v>
      </x:c>
      <x:c r="J29" s="99" t="str">
        <x:v>13、14</x:v>
      </x:c>
      <x:c r="K29" s="106" t="str"/>
      <x:c r="L29" s="101" t="n">
        <x:f>COUNTIF(D29:H29,"月5")</x:f>
        <x:v>0</x:v>
      </x:c>
      <x:c r="M29" s="101" t="n">
        <x:f>COUNTA(D29:H29)</x:f>
        <x:v>5</x:v>
      </x:c>
      <x:c r="N29" s="99" t="str">
        <x:v>已识别</x:v>
      </x:c>
    </x:row>
    <x:row r="30" ht="24" customHeight="1">
      <x:c r="A30" s="99" t="str">
        <x:v>图片2</x:v>
      </x:c>
      <x:c r="B30" s="99" t="n">
        <x:v>6</x:v>
      </x:c>
      <x:c r="C30" s="100" t="str">
        <x:v>K047-K048</x:v>
      </x:c>
      <x:c r="D30" s="99" t="str">
        <x:v>1</x:v>
      </x:c>
      <x:c r="E30" s="99" t="str">
        <x:v>5</x:v>
      </x:c>
      <x:c r="F30" s="99" t="str">
        <x:v>8</x:v>
      </x:c>
      <x:c r="G30" s="99" t="str">
        <x:v>5</x:v>
      </x:c>
      <x:c r="H30" s="99" t="str">
        <x:v>1</x:v>
      </x:c>
      <x:c r="I30" s="100" t="str">
        <x:f>D30&amp;"、"&amp;E30&amp;"、"&amp;F30&amp;"、"&amp;G30&amp;"、"&amp;H30</x:f>
        <x:v>1、5、8、5、1</x:v>
      </x:c>
      <x:c r="J30" s="99" t="str">
        <x:v>13、14</x:v>
      </x:c>
      <x:c r="K30" s="100" t="str">
        <x:v>软横</x:v>
      </x:c>
      <x:c r="L30" s="101" t="n">
        <x:f>COUNTIF(D30:H30,"月5")</x:f>
        <x:v>0</x:v>
      </x:c>
      <x:c r="M30" s="101" t="n">
        <x:f>COUNTA(D30:H30)</x:f>
        <x:v>5</x:v>
      </x:c>
      <x:c r="N30" s="99" t="str">
        <x:v>已识别</x:v>
      </x:c>
    </x:row>
    <x:row r="31" ht="24" customHeight="1">
      <x:c r="A31" s="99" t="str">
        <x:v>图片2</x:v>
      </x:c>
      <x:c r="B31" s="99" t="n">
        <x:v>7</x:v>
      </x:c>
      <x:c r="C31" s="100" t="str">
        <x:v>K073-K074</x:v>
      </x:c>
      <x:c r="D31" s="99" t="str">
        <x:v>1</x:v>
      </x:c>
      <x:c r="E31" s="99" t="str">
        <x:v>5</x:v>
      </x:c>
      <x:c r="F31" s="99" t="str">
        <x:v>8</x:v>
      </x:c>
      <x:c r="G31" s="99" t="str">
        <x:v>5</x:v>
      </x:c>
      <x:c r="H31" s="99" t="str">
        <x:v>1</x:v>
      </x:c>
      <x:c r="I31" s="100" t="str">
        <x:f>D31&amp;"、"&amp;E31&amp;"、"&amp;F31&amp;"、"&amp;G31&amp;"、"&amp;H31</x:f>
        <x:v>1、5、8、5、1</x:v>
      </x:c>
      <x:c r="J31" s="99" t="str">
        <x:v>13、14</x:v>
      </x:c>
      <x:c r="K31" s="100" t="str"/>
      <x:c r="L31" s="101" t="n">
        <x:f>COUNTIF(D31:H31,"月5")</x:f>
        <x:v>0</x:v>
      </x:c>
      <x:c r="M31" s="101" t="n">
        <x:f>COUNTA(D31:H31)</x:f>
        <x:v>5</x:v>
      </x:c>
      <x:c r="N31" s="99" t="str">
        <x:v>已识别</x:v>
      </x:c>
    </x:row>
    <x:row r="32" ht="24" customHeight="1">
      <x:c r="A32" s="99" t="str">
        <x:v>图片2</x:v>
      </x:c>
      <x:c r="B32" s="99" t="n">
        <x:v>8</x:v>
      </x:c>
      <x:c r="C32" s="100" t="str">
        <x:v>K099-K100</x:v>
      </x:c>
      <x:c r="D32" s="99" t="str">
        <x:v>1</x:v>
      </x:c>
      <x:c r="E32" s="99" t="str">
        <x:v>5</x:v>
      </x:c>
      <x:c r="F32" s="99" t="str">
        <x:v>8</x:v>
      </x:c>
      <x:c r="G32" s="99" t="str">
        <x:v>5</x:v>
      </x:c>
      <x:c r="H32" s="99" t="str">
        <x:v>1</x:v>
      </x:c>
      <x:c r="I32" s="100" t="str">
        <x:f>D32&amp;"、"&amp;E32&amp;"、"&amp;F32&amp;"、"&amp;G32&amp;"、"&amp;H32</x:f>
        <x:v>1、5、8、5、1</x:v>
      </x:c>
      <x:c r="J32" s="99" t="str">
        <x:v>13、14</x:v>
      </x:c>
      <x:c r="K32" s="100" t="str">
        <x:v>软横</x:v>
      </x:c>
      <x:c r="L32" s="101" t="n">
        <x:f>COUNTIF(D32:H32,"月5")</x:f>
        <x:v>0</x:v>
      </x:c>
      <x:c r="M32" s="101" t="n">
        <x:f>COUNTA(D32:H32)</x:f>
        <x:v>5</x:v>
      </x:c>
      <x:c r="N32" s="99" t="str">
        <x:v>已识别</x:v>
      </x:c>
    </x:row>
    <x:row r="33" ht="24" customHeight="1">
      <x:c r="A33" s="99" t="str">
        <x:v>图片2</x:v>
      </x:c>
      <x:c r="B33" s="99" t="n">
        <x:v>9</x:v>
      </x:c>
      <x:c r="C33" s="100" t="str">
        <x:v>K097-K098</x:v>
      </x:c>
      <x:c r="D33" s="99" t="str">
        <x:v>1</x:v>
      </x:c>
      <x:c r="E33" s="99" t="str">
        <x:v>5</x:v>
      </x:c>
      <x:c r="F33" s="99" t="str">
        <x:v>8</x:v>
      </x:c>
      <x:c r="G33" s="99" t="str">
        <x:v>5</x:v>
      </x:c>
      <x:c r="H33" s="99" t="str">
        <x:v>1</x:v>
      </x:c>
      <x:c r="I33" s="100" t="str">
        <x:f>D33&amp;"、"&amp;E33&amp;"、"&amp;F33&amp;"、"&amp;G33&amp;"、"&amp;H33</x:f>
        <x:v>1、5、8、5、1</x:v>
      </x:c>
      <x:c r="J33" s="99" t="str">
        <x:v>11、12</x:v>
      </x:c>
      <x:c r="K33" s="100" t="str"/>
      <x:c r="L33" s="101" t="n">
        <x:f>COUNTIF(D33:H33,"月5")</x:f>
        <x:v>0</x:v>
      </x:c>
      <x:c r="M33" s="101" t="n">
        <x:f>COUNTA(D33:H33)</x:f>
        <x:v>5</x:v>
      </x:c>
      <x:c r="N33" s="99" t="str">
        <x:v>已识别</x:v>
      </x:c>
    </x:row>
    <x:row r="34" ht="24" customHeight="1">
      <x:c r="A34" s="99" t="str">
        <x:v>图片2</x:v>
      </x:c>
      <x:c r="B34" s="99" t="n">
        <x:v>10</x:v>
      </x:c>
      <x:c r="C34" s="100" t="str">
        <x:v>K071-K072</x:v>
      </x:c>
      <x:c r="D34" s="99" t="str">
        <x:v>1</x:v>
      </x:c>
      <x:c r="E34" s="99" t="str">
        <x:v>5</x:v>
      </x:c>
      <x:c r="F34" s="99" t="str">
        <x:v>8</x:v>
      </x:c>
      <x:c r="G34" s="99" t="str">
        <x:v>5</x:v>
      </x:c>
      <x:c r="H34" s="99" t="str">
        <x:v>1</x:v>
      </x:c>
      <x:c r="I34" s="100" t="str">
        <x:f>D34&amp;"、"&amp;E34&amp;"、"&amp;F34&amp;"、"&amp;G34&amp;"、"&amp;H34</x:f>
        <x:v>1、5、8、5、1</x:v>
      </x:c>
      <x:c r="J34" s="99" t="str">
        <x:v>11、12</x:v>
      </x:c>
      <x:c r="K34" s="100" t="str"/>
      <x:c r="L34" s="101" t="n">
        <x:f>COUNTIF(D34:H34,"月5")</x:f>
        <x:v>0</x:v>
      </x:c>
      <x:c r="M34" s="101" t="n">
        <x:f>COUNTA(D34:H34)</x:f>
        <x:v>5</x:v>
      </x:c>
      <x:c r="N34" s="99" t="str">
        <x:v>已识别</x:v>
      </x:c>
    </x:row>
    <x:row r="35" ht="24" customHeight="1">
      <x:c r="A35" s="99" t="str">
        <x:v>图片2</x:v>
      </x:c>
      <x:c r="B35" s="99" t="n">
        <x:v>11</x:v>
      </x:c>
      <x:c r="C35" s="100" t="str">
        <x:v>K046-K045</x:v>
      </x:c>
      <x:c r="D35" s="99" t="str">
        <x:v>1</x:v>
      </x:c>
      <x:c r="E35" s="99" t="str">
        <x:v>5</x:v>
      </x:c>
      <x:c r="F35" s="99" t="str">
        <x:v>8</x:v>
      </x:c>
      <x:c r="G35" s="99" t="str">
        <x:v>5</x:v>
      </x:c>
      <x:c r="H35" s="99" t="str">
        <x:v>1</x:v>
      </x:c>
      <x:c r="I35" s="100" t="str">
        <x:f>D35&amp;"、"&amp;E35&amp;"、"&amp;F35&amp;"、"&amp;G35&amp;"、"&amp;H35</x:f>
        <x:v>1、5、8、5、1</x:v>
      </x:c>
      <x:c r="J35" s="99" t="str">
        <x:v>11、12</x:v>
      </x:c>
      <x:c r="K35" s="100" t="str"/>
      <x:c r="L35" s="101" t="n">
        <x:f>COUNTIF(D35:H35,"月5")</x:f>
        <x:v>0</x:v>
      </x:c>
      <x:c r="M35" s="101" t="n">
        <x:f>COUNTA(D35:H35)</x:f>
        <x:v>5</x:v>
      </x:c>
      <x:c r="N35" s="99" t="str">
        <x:v>已识别</x:v>
      </x:c>
    </x:row>
    <x:row r="36" ht="24" customHeight="1">
      <x:c r="A36" s="99" t="str">
        <x:v>图片2</x:v>
      </x:c>
      <x:c r="B36" s="99" t="n">
        <x:v>12</x:v>
      </x:c>
      <x:c r="C36" s="100" t="str">
        <x:v>K019-K020</x:v>
      </x:c>
      <x:c r="D36" s="99" t="str">
        <x:v>1</x:v>
      </x:c>
      <x:c r="E36" s="99" t="str">
        <x:v>5</x:v>
      </x:c>
      <x:c r="F36" s="99" t="str">
        <x:v>8</x:v>
      </x:c>
      <x:c r="G36" s="99" t="str">
        <x:v>5</x:v>
      </x:c>
      <x:c r="H36" s="99" t="str">
        <x:v>1</x:v>
      </x:c>
      <x:c r="I36" s="100" t="str">
        <x:f>D36&amp;"、"&amp;E36&amp;"、"&amp;F36&amp;"、"&amp;G36&amp;"、"&amp;H36</x:f>
        <x:v>1、5、8、5、1</x:v>
      </x:c>
      <x:c r="J36" s="99" t="str">
        <x:v>11、12</x:v>
      </x:c>
      <x:c r="K36" s="100" t="str"/>
      <x:c r="L36" s="101" t="n">
        <x:f>COUNTIF(D36:H36,"月5")</x:f>
        <x:v>0</x:v>
      </x:c>
      <x:c r="M36" s="101" t="n">
        <x:f>COUNTA(D36:H36)</x:f>
        <x:v>5</x:v>
      </x:c>
      <x:c r="N36" s="99" t="str">
        <x:v>已识别</x:v>
      </x:c>
    </x:row>
    <x:row r="37" ht="24" customHeight="1">
      <x:c r="A37" s="99" t="str">
        <x:v>图片2</x:v>
      </x:c>
      <x:c r="B37" s="99" t="n">
        <x:v>13</x:v>
      </x:c>
      <x:c r="C37" s="100" t="str">
        <x:v>K101-K102</x:v>
      </x:c>
      <x:c r="D37" s="99" t="str">
        <x:v>1</x:v>
      </x:c>
      <x:c r="E37" s="99" t="str">
        <x:v>5</x:v>
      </x:c>
      <x:c r="F37" s="99" t="str">
        <x:v>8</x:v>
      </x:c>
      <x:c r="G37" s="99" t="str">
        <x:v>5</x:v>
      </x:c>
      <x:c r="H37" s="99" t="str">
        <x:v>1</x:v>
      </x:c>
      <x:c r="I37" s="100" t="str">
        <x:f>D37&amp;"、"&amp;E37&amp;"、"&amp;F37&amp;"、"&amp;G37&amp;"、"&amp;H37</x:f>
        <x:v>1、5、8、5、1</x:v>
      </x:c>
      <x:c r="J37" s="99" t="str">
        <x:v>15、16</x:v>
      </x:c>
      <x:c r="K37" s="100" t="str">
        <x:v>软横</x:v>
      </x:c>
      <x:c r="L37" s="101" t="n">
        <x:f>COUNTIF(D37:H37,"月5")</x:f>
        <x:v>0</x:v>
      </x:c>
      <x:c r="M37" s="101" t="n">
        <x:f>COUNTA(D37:H37)</x:f>
        <x:v>5</x:v>
      </x:c>
      <x:c r="N37" s="99" t="str">
        <x:v>已识别</x:v>
      </x:c>
    </x:row>
    <x:row r="38" ht="24" customHeight="1">
      <x:c r="A38" s="99" t="str">
        <x:v>图片2</x:v>
      </x:c>
      <x:c r="B38" s="99" t="n">
        <x:v>14</x:v>
      </x:c>
      <x:c r="C38" s="100" t="str">
        <x:v>K075-K076</x:v>
      </x:c>
      <x:c r="D38" s="99" t="str">
        <x:v>1</x:v>
      </x:c>
      <x:c r="E38" s="99" t="str">
        <x:v>5</x:v>
      </x:c>
      <x:c r="F38" s="99" t="str">
        <x:v>8</x:v>
      </x:c>
      <x:c r="G38" s="99" t="str">
        <x:v>5</x:v>
      </x:c>
      <x:c r="H38" s="99" t="str">
        <x:v>1</x:v>
      </x:c>
      <x:c r="I38" s="100" t="str">
        <x:f>D38&amp;"、"&amp;E38&amp;"、"&amp;F38&amp;"、"&amp;G38&amp;"、"&amp;H38</x:f>
        <x:v>1、5、8、5、1</x:v>
      </x:c>
      <x:c r="J38" s="99" t="str">
        <x:v>15、16</x:v>
      </x:c>
      <x:c r="K38" s="100" t="str"/>
      <x:c r="L38" s="101" t="n">
        <x:f>COUNTIF(D38:H38,"月5")</x:f>
        <x:v>0</x:v>
      </x:c>
      <x:c r="M38" s="101" t="n">
        <x:f>COUNTA(D38:H38)</x:f>
        <x:v>5</x:v>
      </x:c>
      <x:c r="N38" s="99" t="str">
        <x:v>已识别</x:v>
      </x:c>
    </x:row>
    <x:row r="39" ht="24" customHeight="1">
      <x:c r="A39" s="99" t="str">
        <x:v>图片2</x:v>
      </x:c>
      <x:c r="B39" s="99" t="n">
        <x:v>15</x:v>
      </x:c>
      <x:c r="C39" s="100" t="str">
        <x:v>K049-K050</x:v>
      </x:c>
      <x:c r="D39" s="99" t="str">
        <x:v>1</x:v>
      </x:c>
      <x:c r="E39" s="99" t="str">
        <x:v>5</x:v>
      </x:c>
      <x:c r="F39" s="99" t="str">
        <x:v>8</x:v>
      </x:c>
      <x:c r="G39" s="99" t="str">
        <x:v>5</x:v>
      </x:c>
      <x:c r="H39" s="99" t="str">
        <x:v>1</x:v>
      </x:c>
      <x:c r="I39" s="100" t="str">
        <x:f>D39&amp;"、"&amp;E39&amp;"、"&amp;F39&amp;"、"&amp;G39&amp;"、"&amp;H39</x:f>
        <x:v>1、5、8、5、1</x:v>
      </x:c>
      <x:c r="J39" s="99" t="str">
        <x:v>15、16</x:v>
      </x:c>
      <x:c r="K39" s="100" t="str"/>
      <x:c r="L39" s="101" t="n">
        <x:f>COUNTIF(D39:H39,"月5")</x:f>
        <x:v>0</x:v>
      </x:c>
      <x:c r="M39" s="101" t="n">
        <x:f>COUNTA(D39:H39)</x:f>
        <x:v>5</x:v>
      </x:c>
      <x:c r="N39" s="99" t="str">
        <x:v>已识别</x:v>
      </x:c>
    </x:row>
    <x:row r="40" ht="24" customHeight="1">
      <x:c r="A40" s="99" t="str">
        <x:v>图片2</x:v>
      </x:c>
      <x:c r="B40" s="99" t="n">
        <x:v>16</x:v>
      </x:c>
      <x:c r="C40" s="100" t="str">
        <x:v>K024-K023</x:v>
      </x:c>
      <x:c r="D40" s="99" t="str">
        <x:v>1</x:v>
      </x:c>
      <x:c r="E40" s="99" t="str">
        <x:v>5</x:v>
      </x:c>
      <x:c r="F40" s="99" t="str">
        <x:v>8</x:v>
      </x:c>
      <x:c r="G40" s="99" t="str">
        <x:v>5</x:v>
      </x:c>
      <x:c r="H40" s="99" t="str">
        <x:v>1</x:v>
      </x:c>
      <x:c r="I40" s="100" t="str">
        <x:f>D40&amp;"、"&amp;E40&amp;"、"&amp;F40&amp;"、"&amp;G40&amp;"、"&amp;H40</x:f>
        <x:v>1、5、8、5、1</x:v>
      </x:c>
      <x:c r="J40" s="99" t="str">
        <x:v>15、16</x:v>
      </x:c>
      <x:c r="K40" s="100" t="str"/>
      <x:c r="L40" s="101" t="n">
        <x:f>COUNTIF(D40:H40,"月5")</x:f>
        <x:v>0</x:v>
      </x:c>
      <x:c r="M40" s="101" t="n">
        <x:f>COUNTA(D40:H40)</x:f>
        <x:v>5</x:v>
      </x:c>
      <x:c r="N40" s="99" t="str">
        <x:v>已识别</x:v>
      </x:c>
    </x:row>
    <x:row r="41" ht="24" customHeight="1">
      <x:c r="A41" s="96" t="str">
        <x:v>图片3</x:v>
      </x:c>
      <x:c r="B41" s="96" t="n">
        <x:v>1</x:v>
      </x:c>
      <x:c r="C41" s="97" t="str">
        <x:v>K033-K034</x:v>
      </x:c>
      <x:c r="D41" s="96" t="str">
        <x:v>1</x:v>
      </x:c>
      <x:c r="E41" s="96" t="str">
        <x:v>5</x:v>
      </x:c>
      <x:c r="F41" s="96" t="str">
        <x:v>8</x:v>
      </x:c>
      <x:c r="G41" s="96" t="str">
        <x:v>5</x:v>
      </x:c>
      <x:c r="H41" s="96" t="str">
        <x:v>1</x:v>
      </x:c>
      <x:c r="I41" s="97" t="str">
        <x:f>D41&amp;"、"&amp;E41&amp;"、"&amp;F41&amp;"、"&amp;G41&amp;"、"&amp;H41</x:f>
        <x:v>1、5、8、5、1</x:v>
      </x:c>
      <x:c r="J41" s="96" t="str">
        <x:v>25、26</x:v>
      </x:c>
      <x:c r="K41" s="97" t="str"/>
      <x:c r="L41" s="98" t="n">
        <x:f>COUNTIF(D41:H41,"月5")</x:f>
        <x:v>0</x:v>
      </x:c>
      <x:c r="M41" s="98" t="n">
        <x:f>COUNTA(D41:H41)</x:f>
        <x:v>5</x:v>
      </x:c>
      <x:c r="N41" s="96" t="str">
        <x:v>已识别</x:v>
      </x:c>
    </x:row>
    <x:row r="42" ht="24" customHeight="1">
      <x:c r="A42" s="96" t="str">
        <x:v>图片3</x:v>
      </x:c>
      <x:c r="B42" s="96" t="n">
        <x:v>2</x:v>
      </x:c>
      <x:c r="C42" s="97" t="str">
        <x:v>K059-K060</x:v>
      </x:c>
      <x:c r="D42" s="96" t="str">
        <x:v>1</x:v>
      </x:c>
      <x:c r="E42" s="96" t="str">
        <x:v>5</x:v>
      </x:c>
      <x:c r="F42" s="96" t="str">
        <x:v>8</x:v>
      </x:c>
      <x:c r="G42" s="96" t="str">
        <x:v>5</x:v>
      </x:c>
      <x:c r="H42" s="96" t="str">
        <x:v>1</x:v>
      </x:c>
      <x:c r="I42" s="97" t="str">
        <x:f>D42&amp;"、"&amp;E42&amp;"、"&amp;F42&amp;"、"&amp;G42&amp;"、"&amp;H42</x:f>
        <x:v>1、5、8、5、1</x:v>
      </x:c>
      <x:c r="J42" s="96" t="str">
        <x:v>25、26</x:v>
      </x:c>
      <x:c r="K42" s="97" t="str"/>
      <x:c r="L42" s="98" t="n">
        <x:f>COUNTIF(D42:H42,"月5")</x:f>
        <x:v>0</x:v>
      </x:c>
      <x:c r="M42" s="98" t="n">
        <x:f>COUNTA(D42:H42)</x:f>
        <x:v>5</x:v>
      </x:c>
      <x:c r="N42" s="96" t="str">
        <x:v>已识别</x:v>
      </x:c>
    </x:row>
    <x:row r="43" ht="24" customHeight="1">
      <x:c r="A43" s="96" t="str">
        <x:v>图片3</x:v>
      </x:c>
      <x:c r="B43" s="96" t="n">
        <x:v>3</x:v>
      </x:c>
      <x:c r="C43" s="97" t="str">
        <x:v>K085-K086</x:v>
      </x:c>
      <x:c r="D43" s="96" t="str">
        <x:v>1</x:v>
      </x:c>
      <x:c r="E43" s="96" t="str">
        <x:v>5</x:v>
      </x:c>
      <x:c r="F43" s="96" t="str">
        <x:v>8</x:v>
      </x:c>
      <x:c r="G43" s="96" t="str">
        <x:v>5</x:v>
      </x:c>
      <x:c r="H43" s="96" t="str">
        <x:v>1</x:v>
      </x:c>
      <x:c r="I43" s="97" t="str">
        <x:f>D43&amp;"、"&amp;E43&amp;"、"&amp;F43&amp;"、"&amp;G43&amp;"、"&amp;H43</x:f>
        <x:v>1、5、8、5、1</x:v>
      </x:c>
      <x:c r="J43" s="96" t="str">
        <x:v>25、26</x:v>
      </x:c>
      <x:c r="K43" s="97" t="str"/>
      <x:c r="L43" s="98" t="n">
        <x:f>COUNTIF(D43:H43,"月5")</x:f>
        <x:v>0</x:v>
      </x:c>
      <x:c r="M43" s="98" t="n">
        <x:f>COUNTA(D43:H43)</x:f>
        <x:v>5</x:v>
      </x:c>
      <x:c r="N43" s="96" t="str">
        <x:v>已识别</x:v>
      </x:c>
    </x:row>
    <x:row r="44" ht="24" customHeight="1">
      <x:c r="A44" s="96" t="str">
        <x:v>图片3</x:v>
      </x:c>
      <x:c r="B44" s="96" t="n">
        <x:v>4</x:v>
      </x:c>
      <x:c r="C44" s="97" t="str">
        <x:v>K111-K112</x:v>
      </x:c>
      <x:c r="D44" s="96" t="str">
        <x:v>1</x:v>
      </x:c>
      <x:c r="E44" s="96" t="str">
        <x:v>5</x:v>
      </x:c>
      <x:c r="F44" s="96" t="str">
        <x:v>8</x:v>
      </x:c>
      <x:c r="G44" s="96" t="str">
        <x:v>5</x:v>
      </x:c>
      <x:c r="H44" s="96" t="str">
        <x:v>1</x:v>
      </x:c>
      <x:c r="I44" s="97" t="str">
        <x:f>D44&amp;"、"&amp;E44&amp;"、"&amp;F44&amp;"、"&amp;G44&amp;"、"&amp;H44</x:f>
        <x:v>1、5、8、5、1</x:v>
      </x:c>
      <x:c r="J44" s="96" t="str">
        <x:v>未标注</x:v>
      </x:c>
      <x:c r="K44" s="97" t="str"/>
      <x:c r="L44" s="98" t="n">
        <x:f>COUNTIF(D44:H44,"月5")</x:f>
        <x:v>0</x:v>
      </x:c>
      <x:c r="M44" s="98" t="n">
        <x:f>COUNTA(D44:H44)</x:f>
        <x:v>5</x:v>
      </x:c>
      <x:c r="N44" s="96" t="str">
        <x:v>已识别</x:v>
      </x:c>
    </x:row>
    <x:row r="45" ht="24" customHeight="1">
      <x:c r="A45" s="96" t="str">
        <x:v>图片3</x:v>
      </x:c>
      <x:c r="B45" s="96" t="n">
        <x:v>5</x:v>
      </x:c>
      <x:c r="C45" s="106" t="str">
        <x:v>K113-K114</x:v>
      </x:c>
      <x:c r="D45" s="96" t="str">
        <x:v>1</x:v>
      </x:c>
      <x:c r="E45" s="96" t="str">
        <x:v>5</x:v>
      </x:c>
      <x:c r="F45" s="96" t="str">
        <x:v>8</x:v>
      </x:c>
      <x:c r="G45" s="96" t="str">
        <x:v>5</x:v>
      </x:c>
      <x:c r="H45" s="96" t="str">
        <x:v>1</x:v>
      </x:c>
      <x:c r="I45" s="97" t="str">
        <x:f>D45&amp;"、"&amp;E45&amp;"、"&amp;F45&amp;"、"&amp;G45&amp;"、"&amp;H45</x:f>
        <x:v>1、5、8、5、1</x:v>
      </x:c>
      <x:c r="J45" s="96" t="str">
        <x:v>27、28</x:v>
      </x:c>
      <x:c r="K45" s="107" t="str"/>
      <x:c r="L45" s="98" t="n">
        <x:f>COUNTIF(D45:H45,"月5")</x:f>
        <x:v>0</x:v>
      </x:c>
      <x:c r="M45" s="98" t="n">
        <x:f>COUNTA(D45:H45)</x:f>
        <x:v>5</x:v>
      </x:c>
      <x:c r="N45" s="96" t="str">
        <x:v>已识别</x:v>
      </x:c>
    </x:row>
    <x:row r="46" ht="24" customHeight="1">
      <x:c r="A46" s="96" t="str">
        <x:v>图片3</x:v>
      </x:c>
      <x:c r="B46" s="96" t="n">
        <x:v>6</x:v>
      </x:c>
      <x:c r="C46" s="106" t="str">
        <x:v>K088-K087</x:v>
      </x:c>
      <x:c r="D46" s="96" t="str">
        <x:v>1</x:v>
      </x:c>
      <x:c r="E46" s="96" t="str">
        <x:v>5</x:v>
      </x:c>
      <x:c r="F46" s="96" t="str">
        <x:v>8</x:v>
      </x:c>
      <x:c r="G46" s="96" t="str">
        <x:v>5</x:v>
      </x:c>
      <x:c r="H46" s="96" t="str">
        <x:v>1</x:v>
      </x:c>
      <x:c r="I46" s="97" t="str">
        <x:f>D46&amp;"、"&amp;E46&amp;"、"&amp;F46&amp;"、"&amp;G46&amp;"、"&amp;H46</x:f>
        <x:v>1、5、8、5、1</x:v>
      </x:c>
      <x:c r="J46" s="96" t="str">
        <x:v>27、28</x:v>
      </x:c>
      <x:c r="K46" s="107" t="str">
        <x:v>软横、地线</x:v>
      </x:c>
      <x:c r="L46" s="98" t="n">
        <x:f>COUNTIF(D46:H46,"月5")</x:f>
        <x:v>0</x:v>
      </x:c>
      <x:c r="M46" s="98" t="n">
        <x:f>COUNTA(D46:H46)</x:f>
        <x:v>5</x:v>
      </x:c>
      <x:c r="N46" s="96" t="str">
        <x:v>已识别</x:v>
      </x:c>
    </x:row>
    <x:row r="47" ht="24" customHeight="1">
      <x:c r="A47" s="96" t="str">
        <x:v>图片3</x:v>
      </x:c>
      <x:c r="B47" s="96" t="n">
        <x:v>7</x:v>
      </x:c>
      <x:c r="C47" s="106" t="str">
        <x:v>K061-K062</x:v>
      </x:c>
      <x:c r="D47" s="96" t="str">
        <x:v>1</x:v>
      </x:c>
      <x:c r="E47" s="96" t="str">
        <x:v>5</x:v>
      </x:c>
      <x:c r="F47" s="96" t="str">
        <x:v>8</x:v>
      </x:c>
      <x:c r="G47" s="96" t="str">
        <x:v>5</x:v>
      </x:c>
      <x:c r="H47" s="96" t="str">
        <x:v>1</x:v>
      </x:c>
      <x:c r="I47" s="97" t="str">
        <x:f>D47&amp;"、"&amp;E47&amp;"、"&amp;F47&amp;"、"&amp;G47&amp;"、"&amp;H47</x:f>
        <x:v>1、5、8、5、1</x:v>
      </x:c>
      <x:c r="J47" s="96" t="str">
        <x:v>27、28</x:v>
      </x:c>
      <x:c r="K47" s="107" t="str">
        <x:v>软横、地线</x:v>
      </x:c>
      <x:c r="L47" s="98" t="n">
        <x:f>COUNTIF(D47:H47,"月5")</x:f>
        <x:v>0</x:v>
      </x:c>
      <x:c r="M47" s="98" t="n">
        <x:f>COUNTA(D47:H47)</x:f>
        <x:v>5</x:v>
      </x:c>
      <x:c r="N47" s="96" t="str">
        <x:v>已识别</x:v>
      </x:c>
    </x:row>
    <x:row r="48" ht="24" customHeight="1">
      <x:c r="A48" s="96" t="str">
        <x:v>图片3</x:v>
      </x:c>
      <x:c r="B48" s="96" t="n">
        <x:v>8</x:v>
      </x:c>
      <x:c r="C48" s="106" t="str">
        <x:v>K096-K085</x:v>
      </x:c>
      <x:c r="D48" s="96" t="str">
        <x:v>1</x:v>
      </x:c>
      <x:c r="E48" s="96" t="str">
        <x:v>5</x:v>
      </x:c>
      <x:c r="F48" s="96" t="str">
        <x:v>8</x:v>
      </x:c>
      <x:c r="G48" s="96" t="str">
        <x:v>5</x:v>
      </x:c>
      <x:c r="H48" s="96" t="str">
        <x:v>1</x:v>
      </x:c>
      <x:c r="I48" s="97" t="str">
        <x:f>D48&amp;"、"&amp;E48&amp;"、"&amp;F48&amp;"、"&amp;G48&amp;"、"&amp;H48</x:f>
        <x:v>1、5、8、5、1</x:v>
      </x:c>
      <x:c r="J48" s="96" t="str">
        <x:v>27、28</x:v>
      </x:c>
      <x:c r="K48" s="107" t="str">
        <x:v>软横、地线</x:v>
      </x:c>
      <x:c r="L48" s="98" t="n">
        <x:f>COUNTIF(D48:H48,"月5")</x:f>
        <x:v>0</x:v>
      </x:c>
      <x:c r="M48" s="98" t="n">
        <x:f>COUNTA(D48:H48)</x:f>
        <x:v>5</x:v>
      </x:c>
      <x:c r="N48" s="96" t="str">
        <x:v>已识别</x:v>
      </x:c>
    </x:row>
    <x:row r="49" ht="24" customHeight="1">
      <x:c r="A49" s="102" t="str">
        <x:v>图片3</x:v>
      </x:c>
      <x:c r="B49" s="102" t="n">
        <x:v>9</x:v>
      </x:c>
      <x:c r="C49" s="106" t="str">
        <x:v>K057-K088</x:v>
      </x:c>
      <x:c r="D49" s="105" t="str">
        <x:v>1</x:v>
      </x:c>
      <x:c r="E49" s="105" t="str">
        <x:v>月5</x:v>
      </x:c>
      <x:c r="F49" s="105" t="str">
        <x:v>8</x:v>
      </x:c>
      <x:c r="G49" s="105" t="str">
        <x:v>月5</x:v>
      </x:c>
      <x:c r="H49" s="105" t="str">
        <x:v>1</x:v>
      </x:c>
      <x:c r="I49" s="103" t="str">
        <x:f>D49&amp;"、"&amp;E49&amp;"、"&amp;F49&amp;"、"&amp;G49&amp;"、"&amp;H49</x:f>
        <x:v>1、月5、8、月5、1</x:v>
      </x:c>
      <x:c r="J49" s="102" t="str">
        <x:v>29、30</x:v>
      </x:c>
      <x:c r="K49" s="107" t="str">
        <x:v>软横；月检库</x:v>
      </x:c>
      <x:c r="L49" s="104" t="n">
        <x:f>COUNTIF(D49:H49,"月5")</x:f>
        <x:v>2</x:v>
      </x:c>
      <x:c r="M49" s="104" t="n">
        <x:f>COUNTA(D49:H49)</x:f>
        <x:v>5</x:v>
      </x:c>
      <x:c r="N49" s="102" t="str">
        <x:v>待复核</x:v>
      </x:c>
    </x:row>
    <x:row r="50" ht="24" customHeight="1">
      <x:c r="A50" s="102" t="str">
        <x:v>图片3</x:v>
      </x:c>
      <x:c r="B50" s="102" t="n">
        <x:v>10</x:v>
      </x:c>
      <x:c r="C50" s="106" t="str">
        <x:v>K063-K064</x:v>
      </x:c>
      <x:c r="D50" s="105" t="str">
        <x:v>1</x:v>
      </x:c>
      <x:c r="E50" s="105" t="str">
        <x:v>月5</x:v>
      </x:c>
      <x:c r="F50" s="105" t="str">
        <x:v>8</x:v>
      </x:c>
      <x:c r="G50" s="105" t="str">
        <x:v>月5</x:v>
      </x:c>
      <x:c r="H50" s="105" t="str">
        <x:v>1</x:v>
      </x:c>
      <x:c r="I50" s="103" t="str">
        <x:f>D50&amp;"、"&amp;E50&amp;"、"&amp;F50&amp;"、"&amp;G50&amp;"、"&amp;H50</x:f>
        <x:v>1、月5、8、月5、1</x:v>
      </x:c>
      <x:c r="J50" s="102" t="str">
        <x:v>29、30</x:v>
      </x:c>
      <x:c r="K50" s="107" t="str">
        <x:v>软横；月检库</x:v>
      </x:c>
      <x:c r="L50" s="104" t="n">
        <x:f>COUNTIF(D50:H50,"月5")</x:f>
        <x:v>2</x:v>
      </x:c>
      <x:c r="M50" s="104" t="n">
        <x:f>COUNTA(D50:H50)</x:f>
        <x:v>5</x:v>
      </x:c>
      <x:c r="N50" s="102" t="str">
        <x:v>已识别</x:v>
      </x:c>
    </x:row>
    <x:row r="51" ht="24" customHeight="1">
      <x:c r="A51" s="102" t="str">
        <x:v>图片3</x:v>
      </x:c>
      <x:c r="B51" s="102" t="n">
        <x:v>11</x:v>
      </x:c>
      <x:c r="C51" s="106" t="str">
        <x:v>K087-K090</x:v>
      </x:c>
      <x:c r="D51" s="105" t="str">
        <x:v>1</x:v>
      </x:c>
      <x:c r="E51" s="105" t="str">
        <x:v>月5</x:v>
      </x:c>
      <x:c r="F51" s="105" t="str">
        <x:v>8</x:v>
      </x:c>
      <x:c r="G51" s="105" t="str">
        <x:v>月5</x:v>
      </x:c>
      <x:c r="H51" s="105" t="str">
        <x:v>1</x:v>
      </x:c>
      <x:c r="I51" s="103" t="str">
        <x:f>D51&amp;"、"&amp;E51&amp;"、"&amp;F51&amp;"、"&amp;G51&amp;"、"&amp;H51</x:f>
        <x:v>1、月5、8、月5、1</x:v>
      </x:c>
      <x:c r="J51" s="102" t="str">
        <x:v>29、30</x:v>
      </x:c>
      <x:c r="K51" s="107" t="str">
        <x:v>软横；月检库</x:v>
      </x:c>
      <x:c r="L51" s="104" t="n">
        <x:f>COUNTIF(D51:H51,"月5")</x:f>
        <x:v>2</x:v>
      </x:c>
      <x:c r="M51" s="104" t="n">
        <x:f>COUNTA(D51:H51)</x:f>
        <x:v>5</x:v>
      </x:c>
      <x:c r="N51" s="102" t="str">
        <x:v>已识别</x:v>
      </x:c>
    </x:row>
    <x:row r="52" ht="24" customHeight="1">
      <x:c r="A52" s="102" t="str">
        <x:v>图片3</x:v>
      </x:c>
      <x:c r="B52" s="102" t="n">
        <x:v>12</x:v>
      </x:c>
      <x:c r="C52" s="106" t="str">
        <x:v>K115-K116</x:v>
      </x:c>
      <x:c r="D52" s="105" t="str">
        <x:v>1</x:v>
      </x:c>
      <x:c r="E52" s="105" t="str">
        <x:v>月5</x:v>
      </x:c>
      <x:c r="F52" s="105" t="str">
        <x:v>8</x:v>
      </x:c>
      <x:c r="G52" s="105" t="str">
        <x:v>月5</x:v>
      </x:c>
      <x:c r="H52" s="105" t="str">
        <x:v>1</x:v>
      </x:c>
      <x:c r="I52" s="103" t="str">
        <x:f>D52&amp;"、"&amp;E52&amp;"、"&amp;F52&amp;"、"&amp;G52&amp;"、"&amp;H52</x:f>
        <x:v>1、月5、8、月5、1</x:v>
      </x:c>
      <x:c r="J52" s="102" t="str">
        <x:v>29、30</x:v>
      </x:c>
      <x:c r="K52" s="107" t="str">
        <x:v>软横；月检库</x:v>
      </x:c>
      <x:c r="L52" s="104" t="n">
        <x:f>COUNTIF(D52:H52,"月5")</x:f>
        <x:v>2</x:v>
      </x:c>
      <x:c r="M52" s="104" t="n">
        <x:f>COUNTA(D52:H52)</x:f>
        <x:v>5</x:v>
      </x:c>
      <x:c r="N52" s="102" t="str">
        <x:v>已识别</x:v>
      </x:c>
    </x:row>
    <x:row r="55">
      <x:c r="A55" s="89" t="str">
        <x:v>二、股道序列汇总</x:v>
      </x:c>
      <x:c r="B55" s="89"/>
      <x:c r="C55" s="89"/>
      <x:c r="D55" s="89"/>
      <x:c r="E55" s="89"/>
      <x:c r="F55" s="89"/>
      <x:c r="H55" s="89" t="str">
        <x:v>三、缺陷/记录汇总</x:v>
      </x:c>
      <x:c r="I55" s="89"/>
      <x:c r="J55" s="89"/>
      <x:c r="K55" s="89"/>
      <x:c r="L55" s="89"/>
      <x:c r="M55" s="89"/>
    </x:row>
    <x:row r="56">
      <x:c r="A56" s="95" t="str">
        <x:v>股道类别</x:v>
      </x:c>
      <x:c r="B56" s="95" t="str">
        <x:v>图片数量</x:v>
      </x:c>
      <x:c r="C56" s="95" t="str">
        <x:v>对应原表/口径</x:v>
      </x:c>
      <x:c r="D56" s="95" t="str"/>
      <x:c r="E56" s="95" t="str"/>
      <x:c r="F56" s="95" t="str">
        <x:v>备注</x:v>
      </x:c>
      <x:c r="H56" s="95" t="str">
        <x:v>缺陷/记录</x:v>
      </x:c>
      <x:c r="I56" s="95" t="str">
        <x:v>出现行数</x:v>
      </x:c>
      <x:c r="J56" s="95" t="str">
        <x:v>统计公式</x:v>
      </x:c>
      <x:c r="K56" s="95" t="str"/>
      <x:c r="L56" s="95" t="str"/>
      <x:c r="M56" s="95" t="str">
        <x:v>说明</x:v>
      </x:c>
    </x:row>
    <x:row r="57" ht="28" customHeight="1">
      <x:c r="A57" s="35" t="str">
        <x:v>1</x:v>
      </x:c>
      <x:c r="B57" s="36" t="n">
        <x:f>COUNTIF($D$9:$H$52,A57)</x:f>
        <x:v>88</x:v>
      </x:c>
      <x:c r="C57" s="35" t="str">
        <x:v>图片中的股道1；对应原节点统计中的节点1</x:v>
      </x:c>
      <x:c r="D57" s="35"/>
      <x:c r="E57" s="35"/>
      <x:c r="F57" s="35" t="str">
        <x:v>两端位置</x:v>
      </x:c>
      <x:c r="H57" s="110" t="str">
        <x:v>软横</x:v>
      </x:c>
      <x:c r="I57" s="111" t="n">
        <x:f>COUNTIF($K$9:$K$52,"软横")+COUNTIF($K$9:$K$52,"软横、地线")+COUNTIF($K$9:$K$52,"软横；月检库")</x:f>
        <x:v>15</x:v>
      </x:c>
      <x:c r="J57" s="110" t="str">
        <x:v>含“软横”的记录行</x:v>
      </x:c>
      <x:c r="K57" s="110"/>
      <x:c r="L57" s="110"/>
      <x:c r="M57" s="110" t="str">
        <x:v>可与地线、月检库重叠</x:v>
      </x:c>
    </x:row>
    <x:row r="58" ht="28" customHeight="1">
      <x:c r="A58" s="35" t="str">
        <x:v>5</x:v>
      </x:c>
      <x:c r="B58" s="36" t="n">
        <x:f>COUNTIF($D$9:$H$52,A58)</x:f>
        <x:v>80</x:v>
      </x:c>
      <x:c r="C58" s="35" t="str">
        <x:v>图片中的普通股道5；对应原节点统计中的普通节点5</x:v>
      </x:c>
      <x:c r="D58" s="35"/>
      <x:c r="E58" s="35"/>
      <x:c r="F58" s="35" t="str">
        <x:v>不含月5</x:v>
      </x:c>
      <x:c r="H58" s="110" t="str">
        <x:v>地线</x:v>
      </x:c>
      <x:c r="I58" s="111" t="n">
        <x:f>COUNTIF($K$9:$K$52,"软横、地线")</x:f>
        <x:v>3</x:v>
      </x:c>
      <x:c r="J58" s="110" t="str">
        <x:v>含“地线”的记录行</x:v>
      </x:c>
      <x:c r="K58" s="110"/>
      <x:c r="L58" s="110"/>
      <x:c r="M58" s="110" t="str">
        <x:v>图3中3行</x:v>
      </x:c>
    </x:row>
    <x:row r="59" ht="28" customHeight="1">
      <x:c r="A59" s="108" t="str">
        <x:v>月5</x:v>
      </x:c>
      <x:c r="B59" s="109" t="n">
        <x:f>COUNTIF($D$9:$H$52,A59)</x:f>
        <x:v>8</x:v>
      </x:c>
      <x:c r="C59" s="108" t="str">
        <x:v>按原表月检库节点5归类</x:v>
      </x:c>
      <x:c r="D59" s="108"/>
      <x:c r="E59" s="108"/>
      <x:c r="F59" s="108" t="str">
        <x:v>图片3最后4行</x:v>
      </x:c>
      <x:c r="H59" s="110" t="str">
        <x:v>月检库</x:v>
      </x:c>
      <x:c r="I59" s="111" t="n">
        <x:f>COUNTIF($K$9:$K$52,"软横；月检库")</x:f>
        <x:v>4</x:v>
      </x:c>
      <x:c r="J59" s="110" t="str">
        <x:v>含“月检库”的记录行</x:v>
      </x:c>
      <x:c r="K59" s="110"/>
      <x:c r="L59" s="110"/>
      <x:c r="M59" s="110" t="str">
        <x:v>图3最后4行</x:v>
      </x:c>
    </x:row>
    <x:row r="60" ht="28" customHeight="1">
      <x:c r="A60" s="35" t="str">
        <x:v>8</x:v>
      </x:c>
      <x:c r="B60" s="36" t="n">
        <x:f>COUNTIF($D$9:$H$52,A60)</x:f>
        <x:v>44</x:v>
      </x:c>
      <x:c r="C60" s="35" t="str">
        <x:v>图片中的股道8/8(软横)；对应原节点统计中的节点8</x:v>
      </x:c>
      <x:c r="D60" s="35"/>
      <x:c r="E60" s="35"/>
      <x:c r="F60" s="35" t="str">
        <x:v>同一类位置</x:v>
      </x:c>
      <x:c r="H60" s="110" t="str">
        <x:v>涂改</x:v>
      </x:c>
      <x:c r="I60" s="111" t="n">
        <x:f>COUNTIF($K$9:$K$52,"涂改")</x:f>
        <x:v>1</x:v>
      </x:c>
      <x:c r="J60" s="110" t="str">
        <x:v>含“涂改”的记录行</x:v>
      </x:c>
      <x:c r="K60" s="110"/>
      <x:c r="L60" s="110"/>
      <x:c r="M60" s="110" t="str">
        <x:v>图2第1行</x:v>
      </x:c>
    </x:row>
    <x:row r="61" ht="28" customHeight="1">
      <x:c r="A61" s="35" t="str">
        <x:v>合计</x:v>
      </x:c>
      <x:c r="B61" s="36" t="n">
        <x:f>SUM(B57:B60)</x:f>
        <x:v>220</x:v>
      </x:c>
      <x:c r="C61" s="35" t="str">
        <x:v>五个股道位置/行</x:v>
      </x:c>
      <x:c r="D61" s="35"/>
      <x:c r="E61" s="35"/>
      <x:c r="F61" s="35" t="str"/>
      <x:c r="H61" s="35" t="str">
        <x:v>无备注</x:v>
      </x:c>
      <x:c r="I61" s="36" t="n">
        <x:f>COUNTA($A$9:$A$52)-I62</x:f>
        <x:v>28</x:v>
      </x:c>
      <x:c r="J61" s="35" t="str">
        <x:v>缺陷/记录为空的行</x:v>
      </x:c>
      <x:c r="K61" s="35"/>
      <x:c r="L61" s="35"/>
      <x:c r="M61" s="35" t="str"/>
    </x:row>
    <x:row r="62" ht="28" customHeight="1">
      <x:c r="H62" s="35" t="str">
        <x:v>记录行合计</x:v>
      </x:c>
      <x:c r="I62" s="36" t="n">
        <x:f>COUNTIF($K$9:$K$52,"软横")+COUNTIF($K$9:$K$52,"软横、地线")+COUNTIF($K$9:$K$52,"软横；月检库")+COUNTIF($K$9:$K$52,"涂改")</x:f>
        <x:v>16</x:v>
      </x:c>
      <x:c r="J62" s="35" t="str">
        <x:v>非空缺陷/记录行</x:v>
      </x:c>
      <x:c r="K62" s="35"/>
      <x:c r="L62" s="35"/>
      <x:c r="M62" s="35" t="str">
        <x:v>分类统计可能重叠</x:v>
      </x:c>
    </x:row>
    <x:row r="65" ht="34" customHeight="1">
      <x:c r="A65" s="120" t="str">
        <x:v>复核提示：图片1第4行以后部分K号因手写模糊暂标“待复核”；图片3第9行K号也建议复核。右侧括号编号按图片可见括号分组录入，未明确覆盖的行标为“未标注”。</x:v>
      </x:c>
      <x:c r="B65" s="121"/>
      <x:c r="C65" s="121"/>
      <x:c r="D65" s="121"/>
      <x:c r="E65" s="121"/>
      <x:c r="F65" s="121"/>
      <x:c r="G65" s="121"/>
      <x:c r="H65" s="121"/>
      <x:c r="I65" s="121"/>
      <x:c r="J65" s="121"/>
      <x:c r="K65" s="121"/>
      <x:c r="L65" s="121"/>
      <x:c r="M65" s="121"/>
      <x:c r="N65" s="122"/>
    </x:row>
  </x:sheetData>
  <x:mergeCells>
    <x:mergeCell ref="A1:N1"/>
    <x:mergeCell ref="A2:N2"/>
    <x:mergeCell ref="A4:B4"/>
    <x:mergeCell ref="C4:D4"/>
    <x:mergeCell ref="E4:F4"/>
    <x:mergeCell ref="G4:H4"/>
    <x:mergeCell ref="I4:J4"/>
    <x:mergeCell ref="K4:N4"/>
    <x:mergeCell ref="A5:B5"/>
    <x:mergeCell ref="C5:D5"/>
    <x:mergeCell ref="E5:F5"/>
    <x:mergeCell ref="G5:H5"/>
    <x:mergeCell ref="I5:J5"/>
    <x:mergeCell ref="K5:N5"/>
    <x:mergeCell ref="A7:N7"/>
    <x:mergeCell ref="A55:F55"/>
    <x:mergeCell ref="C56:E56"/>
    <x:mergeCell ref="H55:M55"/>
    <x:mergeCell ref="J56:L56"/>
    <x:mergeCell ref="A65:N65"/>
  </x:mergeCells>
  <x:pageMargins left="0.7" right="0.7" top="0.75" bottom="0.75" header="0.3" footer="0.3"/>
  <x:tableParts count="1">
    <x:tablePart xmlns:r="http://schemas.openxmlformats.org/officeDocument/2006/relationships" r:id="Rf86417549c384ca4"/>
  </x:tableParts>
</x:worksheet>
</file>